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U Login Details" sheetId="1" r:id="rId5"/>
    <sheet state="visible" name="Student List" sheetId="2" r:id="rId6"/>
    <sheet state="visible" name="Learnership" sheetId="3" r:id="rId7"/>
    <sheet state="visible" name="Absenteeism Summary Sheet" sheetId="4" r:id="rId8"/>
    <sheet state="visible" name="Program Summary Sheet" sheetId="5" r:id="rId9"/>
    <sheet state="visible" name="August 17-20" sheetId="6" r:id="rId10"/>
    <sheet state="visible" name="August 24-27" sheetId="7" r:id="rId11"/>
    <sheet state="visible" name="August 31-03" sheetId="8" r:id="rId12"/>
    <sheet state="visible" name="September 07-10" sheetId="9" r:id="rId13"/>
    <sheet state="visible" name="September 14-17" sheetId="10" r:id="rId14"/>
    <sheet state="visible" name="September 21-24" sheetId="11" r:id="rId15"/>
    <sheet state="visible" name="September 28-01" sheetId="12" r:id="rId16"/>
    <sheet state="visible" name="October 05-08" sheetId="13" r:id="rId17"/>
    <sheet state="visible" name="Formula Sheet" sheetId="14" r:id="rId18"/>
  </sheets>
  <definedNames/>
  <calcPr/>
</workbook>
</file>

<file path=xl/sharedStrings.xml><?xml version="1.0" encoding="utf-8"?>
<sst xmlns="http://schemas.openxmlformats.org/spreadsheetml/2006/main" count="6560" uniqueCount="757">
  <si>
    <t>No.</t>
  </si>
  <si>
    <t xml:space="preserve">Last Name </t>
  </si>
  <si>
    <t xml:space="preserve">Surname </t>
  </si>
  <si>
    <t>First name</t>
  </si>
  <si>
    <t>No</t>
  </si>
  <si>
    <t>Password</t>
  </si>
  <si>
    <t>Type</t>
  </si>
  <si>
    <t>First Name</t>
  </si>
  <si>
    <t>August 17-20</t>
  </si>
  <si>
    <t xml:space="preserve">Group </t>
  </si>
  <si>
    <t>August 24-27</t>
  </si>
  <si>
    <t>August 31-03</t>
  </si>
  <si>
    <t>September 07-10</t>
  </si>
  <si>
    <t>September 14-17</t>
  </si>
  <si>
    <t>September 21-24</t>
  </si>
  <si>
    <t>Location</t>
  </si>
  <si>
    <t>September 28-01</t>
  </si>
  <si>
    <t>October 05-08</t>
  </si>
  <si>
    <t>Surname</t>
  </si>
  <si>
    <t xml:space="preserve">Total Absenteeism </t>
  </si>
  <si>
    <t>Masasanya</t>
  </si>
  <si>
    <t>Thabile Nicole</t>
  </si>
  <si>
    <t>Masasanya615456</t>
  </si>
  <si>
    <t>Guest</t>
  </si>
  <si>
    <t>Comments</t>
  </si>
  <si>
    <t>Name</t>
  </si>
  <si>
    <t xml:space="preserve">Degree Sponsor </t>
  </si>
  <si>
    <t>MII Department</t>
  </si>
  <si>
    <t>Second &amp; Third Name</t>
  </si>
  <si>
    <t>Buthelezi</t>
  </si>
  <si>
    <t>Prudence Anne</t>
  </si>
  <si>
    <t>Buthelezi619383</t>
  </si>
  <si>
    <t>External Partner</t>
  </si>
  <si>
    <t>Full Name on Diploma upon Graduation</t>
  </si>
  <si>
    <t>Gambushe</t>
  </si>
  <si>
    <t>Vuyi</t>
  </si>
  <si>
    <t>Gambushe 619384</t>
  </si>
  <si>
    <t>Thabile</t>
  </si>
  <si>
    <t>Vertical Stream</t>
  </si>
  <si>
    <t>Learnership Start</t>
  </si>
  <si>
    <t>Emails</t>
  </si>
  <si>
    <t>Hlatshwayo</t>
  </si>
  <si>
    <t>Lwazi</t>
  </si>
  <si>
    <t>Hlatshwayo619385</t>
  </si>
  <si>
    <t>Learnership End</t>
  </si>
  <si>
    <t>MIU Emails</t>
  </si>
  <si>
    <t xml:space="preserve">Contract ended /Student not doing anything </t>
  </si>
  <si>
    <t>MII</t>
  </si>
  <si>
    <t>Januarie</t>
  </si>
  <si>
    <t>CV in PDF Format</t>
  </si>
  <si>
    <t>MIU ID</t>
  </si>
  <si>
    <t>Nomathemba</t>
  </si>
  <si>
    <t>Januarie619386</t>
  </si>
  <si>
    <t xml:space="preserve">Whatsapp Number </t>
  </si>
  <si>
    <t>Work-readiness CV-preparation</t>
  </si>
  <si>
    <t>Work-readiness Interview Skills</t>
  </si>
  <si>
    <t>Mock Interviews</t>
  </si>
  <si>
    <t>Students joined GMI: Yes/No ?</t>
  </si>
  <si>
    <t>Kotane</t>
  </si>
  <si>
    <t>Retshego Goitseone</t>
  </si>
  <si>
    <t xml:space="preserve">Comments </t>
  </si>
  <si>
    <t>Kotane619387</t>
  </si>
  <si>
    <t>N</t>
  </si>
  <si>
    <t>Lebea</t>
  </si>
  <si>
    <t>Lebohang</t>
  </si>
  <si>
    <t>Lebea619388</t>
  </si>
  <si>
    <t>Lekganyane</t>
  </si>
  <si>
    <t>Molatela Suzan</t>
  </si>
  <si>
    <t>Prudence</t>
  </si>
  <si>
    <t>Lekganyane619389</t>
  </si>
  <si>
    <t>Nicole</t>
  </si>
  <si>
    <t>Lengoati</t>
  </si>
  <si>
    <t>Phumelela Love Langaelihle</t>
  </si>
  <si>
    <t>Lengoati619390</t>
  </si>
  <si>
    <t>No sponsor</t>
  </si>
  <si>
    <t>Thabile Nicole Masasanya</t>
  </si>
  <si>
    <t>masasanya.thabile@maharishinstitute.org</t>
  </si>
  <si>
    <t>nicole.masasanya@miu.edu</t>
  </si>
  <si>
    <t>Foundation phase TA</t>
  </si>
  <si>
    <t>Lephoto</t>
  </si>
  <si>
    <t>Refilwe</t>
  </si>
  <si>
    <t>Lephoto619391</t>
  </si>
  <si>
    <t>615456</t>
  </si>
  <si>
    <t xml:space="preserve">Absa-Ended </t>
  </si>
  <si>
    <t>0719496467</t>
  </si>
  <si>
    <t>Lepyana</t>
  </si>
  <si>
    <t>Nyaduwa</t>
  </si>
  <si>
    <t>Lepyana619392</t>
  </si>
  <si>
    <t>Maake</t>
  </si>
  <si>
    <t>Lethabo Jocobeth</t>
  </si>
  <si>
    <t>S</t>
  </si>
  <si>
    <t>Maake619393</t>
  </si>
  <si>
    <t>Yes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</si>
  <si>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</si>
  <si>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Magwasha</t>
  </si>
  <si>
    <t xml:space="preserve">Gambushe </t>
  </si>
  <si>
    <t>Tshimangadzo Mercy</t>
  </si>
  <si>
    <t>Anne</t>
  </si>
  <si>
    <t>Magwasha619394</t>
  </si>
  <si>
    <t>D</t>
  </si>
  <si>
    <t>Prudence Anne BUTHELEZI</t>
  </si>
  <si>
    <t>YES Program: ITC Info-Tech</t>
  </si>
  <si>
    <t>Makeke</t>
  </si>
  <si>
    <t>Nobuhle</t>
  </si>
  <si>
    <t>Makeke619395</t>
  </si>
  <si>
    <t>prudence.buthelezi@maharishinstitute.org</t>
  </si>
  <si>
    <t>Consciousness Department</t>
  </si>
  <si>
    <t>Makhabane</t>
  </si>
  <si>
    <t>Josephina Tshepiso Mookho</t>
  </si>
  <si>
    <t>Makhabane619396</t>
  </si>
  <si>
    <t>pbuthelezi@miu.edu</t>
  </si>
  <si>
    <t>619383</t>
  </si>
  <si>
    <t>Makhafola</t>
  </si>
  <si>
    <t>Kamogelo</t>
  </si>
  <si>
    <t>Makhafola619397</t>
  </si>
  <si>
    <t>017009</t>
  </si>
  <si>
    <t>0643049430</t>
  </si>
  <si>
    <t>Lerato</t>
  </si>
  <si>
    <t>Makhafola619398</t>
  </si>
  <si>
    <t>Mangane</t>
  </si>
  <si>
    <t>Moshal</t>
  </si>
  <si>
    <t>Lebogang</t>
  </si>
  <si>
    <t>Mangane619399</t>
  </si>
  <si>
    <t>Work Study-Skills</t>
  </si>
  <si>
    <t>Vuyi GAMBUSHE</t>
  </si>
  <si>
    <t>gambushev@maharishinstitute.org</t>
  </si>
  <si>
    <t>Masemola</t>
  </si>
  <si>
    <t>Gopolang</t>
  </si>
  <si>
    <t>vgambushe@miu.edu</t>
  </si>
  <si>
    <t>Masemola619400</t>
  </si>
  <si>
    <t>619384</t>
  </si>
  <si>
    <t>Nahana</t>
  </si>
  <si>
    <t xml:space="preserve">MII Foundation phase </t>
  </si>
  <si>
    <t>018752</t>
  </si>
  <si>
    <t>084 841 0015</t>
  </si>
  <si>
    <t>Mashapa</t>
  </si>
  <si>
    <t>Morongwa</t>
  </si>
  <si>
    <t>Mashapa619401</t>
  </si>
  <si>
    <t>Mbatha</t>
  </si>
  <si>
    <t>Anele</t>
  </si>
  <si>
    <t>Mbatha619402</t>
  </si>
  <si>
    <t>Lwazi HLATSHWAYO</t>
  </si>
  <si>
    <t>lwazi.hlatshwayo@maharishinstitute.org</t>
  </si>
  <si>
    <t>lhlatshwayo@miu.edu</t>
  </si>
  <si>
    <t>619385</t>
  </si>
  <si>
    <t>017029</t>
  </si>
  <si>
    <t>Mhlongo</t>
  </si>
  <si>
    <t>062 474 7455</t>
  </si>
  <si>
    <t xml:space="preserve">Retshego </t>
  </si>
  <si>
    <t>Floyd</t>
  </si>
  <si>
    <t>Mhlongo619403</t>
  </si>
  <si>
    <t>MII Work study -Adminstration department</t>
  </si>
  <si>
    <t xml:space="preserve">                                                                                                    </t>
  </si>
  <si>
    <t>Mndwetywa</t>
  </si>
  <si>
    <t>Yamkelani</t>
  </si>
  <si>
    <t>Mndwetywa619404</t>
  </si>
  <si>
    <t>Nomathemba JANUARIE</t>
  </si>
  <si>
    <t>nomathemba.januarie@maharishinstitute.org</t>
  </si>
  <si>
    <t>njanuarie@miu.edu</t>
  </si>
  <si>
    <t>619386</t>
  </si>
  <si>
    <t>017032</t>
  </si>
  <si>
    <t>081 519 5881</t>
  </si>
  <si>
    <t>Moema</t>
  </si>
  <si>
    <t>Boitshoko</t>
  </si>
  <si>
    <t>Moema619405</t>
  </si>
  <si>
    <t>Molaletsa</t>
  </si>
  <si>
    <t>Karabo</t>
  </si>
  <si>
    <t>Molaletsa619406</t>
  </si>
  <si>
    <t>Goitseone</t>
  </si>
  <si>
    <t xml:space="preserve">Retshego Goitseone KOTANE </t>
  </si>
  <si>
    <t>retshego.kotane18@maharishinstitute.org</t>
  </si>
  <si>
    <t>rkotane@miu.edu</t>
  </si>
  <si>
    <t>619389</t>
  </si>
  <si>
    <t>018054</t>
  </si>
  <si>
    <t>0764701495</t>
  </si>
  <si>
    <t>Monametsi</t>
  </si>
  <si>
    <t>Monametsi619407</t>
  </si>
  <si>
    <t>Manpower</t>
  </si>
  <si>
    <t>Skills</t>
  </si>
  <si>
    <t>Bryte</t>
  </si>
  <si>
    <t>More</t>
  </si>
  <si>
    <t>Molebatsi</t>
  </si>
  <si>
    <t>More619408</t>
  </si>
  <si>
    <t>1 Novembber 2022</t>
  </si>
  <si>
    <t>Motimele</t>
  </si>
  <si>
    <t>Tshegofatso</t>
  </si>
  <si>
    <t>Motimele619409</t>
  </si>
  <si>
    <t>Molatela</t>
  </si>
  <si>
    <t>Stefanutti Stocks</t>
  </si>
  <si>
    <t>Lebohang LEBEA</t>
  </si>
  <si>
    <t>YES  program{ Foundation Adminstration Department}</t>
  </si>
  <si>
    <t>German</t>
  </si>
  <si>
    <t>lebogang.lebea@maharishinstitute.org</t>
  </si>
  <si>
    <t>Mthethwa</t>
  </si>
  <si>
    <t>Sanele</t>
  </si>
  <si>
    <t>Phumelela</t>
  </si>
  <si>
    <t>Mthethwa619410</t>
  </si>
  <si>
    <t>llebea@miu.edu</t>
  </si>
  <si>
    <t>619388</t>
  </si>
  <si>
    <t>Mtshakazi</t>
  </si>
  <si>
    <t>Vuyolwethu</t>
  </si>
  <si>
    <t>Mtshakazi619411</t>
  </si>
  <si>
    <t>017519</t>
  </si>
  <si>
    <t>060 354 3965</t>
  </si>
  <si>
    <t>Bryte Student</t>
  </si>
  <si>
    <t xml:space="preserve">No learnership /Work study </t>
  </si>
  <si>
    <t>Nawa</t>
  </si>
  <si>
    <t>Ontlametse</t>
  </si>
  <si>
    <t>Nawa619412</t>
  </si>
  <si>
    <t>Suzan</t>
  </si>
  <si>
    <t>Ncube</t>
  </si>
  <si>
    <t>Thembisile</t>
  </si>
  <si>
    <t>Molatela Suzan LEKGANYANE</t>
  </si>
  <si>
    <t>Ncube619413</t>
  </si>
  <si>
    <t>molatela.lekganyane@maharishinstitute.org</t>
  </si>
  <si>
    <t>-</t>
  </si>
  <si>
    <t>mlekganyane@miu.edu</t>
  </si>
  <si>
    <t>017282</t>
  </si>
  <si>
    <t>0664398620</t>
  </si>
  <si>
    <t>Ndaba</t>
  </si>
  <si>
    <t>Aobakwe</t>
  </si>
  <si>
    <t>Ndaba619414</t>
  </si>
  <si>
    <t>Yes program(Skills)</t>
  </si>
  <si>
    <t>Love Langaelihle</t>
  </si>
  <si>
    <t>Phumelela Love Langaelihle LENGOATI</t>
  </si>
  <si>
    <t>Ncinci</t>
  </si>
  <si>
    <t>phemelela.lengoati18@maharishinstitute.org</t>
  </si>
  <si>
    <t>Ndaba619415</t>
  </si>
  <si>
    <t>plengoati@miu.edu</t>
  </si>
  <si>
    <t>619390</t>
  </si>
  <si>
    <t>018335</t>
  </si>
  <si>
    <t>079 414 5202</t>
  </si>
  <si>
    <t>1 Aprril 2025</t>
  </si>
  <si>
    <t>Ndlela</t>
  </si>
  <si>
    <t>Princess</t>
  </si>
  <si>
    <t>Ndlela619416</t>
  </si>
  <si>
    <t xml:space="preserve">Contract ended </t>
  </si>
  <si>
    <t>Nyaduwa LEPYANA</t>
  </si>
  <si>
    <t>nyaduwa.lepyana@maharishinstitute.org</t>
  </si>
  <si>
    <t>nlepyana@miu</t>
  </si>
  <si>
    <t>019392</t>
  </si>
  <si>
    <t>017055</t>
  </si>
  <si>
    <t>0812151973</t>
  </si>
  <si>
    <t>Ndou</t>
  </si>
  <si>
    <t>Sedzani</t>
  </si>
  <si>
    <t>Ndou618941</t>
  </si>
  <si>
    <t>Lethabo</t>
  </si>
  <si>
    <t>Jocobeth</t>
  </si>
  <si>
    <t>Lethabo Jocobeth MAAKE</t>
  </si>
  <si>
    <t>lethabo.maake@maharishinstitute.org</t>
  </si>
  <si>
    <t>lmaake@miu.edu</t>
  </si>
  <si>
    <t>619393</t>
  </si>
  <si>
    <t>Work Study - Marketing Department</t>
  </si>
  <si>
    <t>Ngcobo</t>
  </si>
  <si>
    <t>017061</t>
  </si>
  <si>
    <t>Hlengiwe</t>
  </si>
  <si>
    <t>066 504 5641</t>
  </si>
  <si>
    <t>Ngcobo 619417</t>
  </si>
  <si>
    <t xml:space="preserve">Tshimangadzo </t>
  </si>
  <si>
    <t>Mercy</t>
  </si>
  <si>
    <t>Tshimangadzo Mercy MAGWASHA</t>
  </si>
  <si>
    <t>Nhlabathi</t>
  </si>
  <si>
    <t>Kuku</t>
  </si>
  <si>
    <t>tshimangadzo.magwasha18@maharishinstitute.org</t>
  </si>
  <si>
    <t>Nhlabathi619418</t>
  </si>
  <si>
    <t>tmagwasha@miu.edu</t>
  </si>
  <si>
    <t>619394</t>
  </si>
  <si>
    <t>018093</t>
  </si>
  <si>
    <t>0726781756</t>
  </si>
  <si>
    <t>Yes Program(Skills)</t>
  </si>
  <si>
    <t>Nkawule</t>
  </si>
  <si>
    <t>Unathi</t>
  </si>
  <si>
    <t>Nkawule619419</t>
  </si>
  <si>
    <t>Work Study - Admin Assistant</t>
  </si>
  <si>
    <t>Foundation department</t>
  </si>
  <si>
    <t>Nkosi</t>
  </si>
  <si>
    <t>Josephina</t>
  </si>
  <si>
    <t>Thobeka</t>
  </si>
  <si>
    <t>Tshepiso Mookho</t>
  </si>
  <si>
    <t>Nkosi619420</t>
  </si>
  <si>
    <r>
      <rPr>
        <rFont val="Times New Roman"/>
        <b val="0"/>
        <color theme="1"/>
        <sz val="12.0"/>
      </rPr>
      <t>Josephina Tshepiso Mookho MAKHABANE</t>
    </r>
    <r>
      <rPr>
        <rFont val="Times New Roman"/>
        <b/>
        <color theme="1"/>
        <sz val="12.0"/>
      </rPr>
      <t xml:space="preserve"> </t>
    </r>
  </si>
  <si>
    <t>Nokane</t>
  </si>
  <si>
    <t>Bertha</t>
  </si>
  <si>
    <t>Nokane619421</t>
  </si>
  <si>
    <t>tshepiso.makhabane@maharishinstitute.org</t>
  </si>
  <si>
    <t>jmakhabane@miu.edu</t>
  </si>
  <si>
    <t>619396</t>
  </si>
  <si>
    <t>017084</t>
  </si>
  <si>
    <t>0789089859</t>
  </si>
  <si>
    <t>Nokeri</t>
  </si>
  <si>
    <t>Nokeri619422</t>
  </si>
  <si>
    <t>Bryte (Ended)</t>
  </si>
  <si>
    <t xml:space="preserve">Kamogelo </t>
  </si>
  <si>
    <t>Bridget</t>
  </si>
  <si>
    <t>Ntombela</t>
  </si>
  <si>
    <t>Gcinile</t>
  </si>
  <si>
    <t>kamogelo Bridget MAKHAFOLA</t>
  </si>
  <si>
    <t>Ntombela619423</t>
  </si>
  <si>
    <t>kamogelo.makhafola18@maharishinstitute.org</t>
  </si>
  <si>
    <t>kmakhafola@miu.edu</t>
  </si>
  <si>
    <t>619397</t>
  </si>
  <si>
    <t>018103</t>
  </si>
  <si>
    <t>0606 77 1084</t>
  </si>
  <si>
    <t xml:space="preserve">Learnership DYICT </t>
  </si>
  <si>
    <t>Nyathi</t>
  </si>
  <si>
    <t>Zanele</t>
  </si>
  <si>
    <t>Nyathi619424</t>
  </si>
  <si>
    <t xml:space="preserve">Precious </t>
  </si>
  <si>
    <t>Lerato Precious MAKHAFOLA</t>
  </si>
  <si>
    <t>lerato.makhafola18@maharishinstitute.org</t>
  </si>
  <si>
    <t>lmakhafola@miu.edu</t>
  </si>
  <si>
    <t>Work Study - Foundation phase</t>
  </si>
  <si>
    <t>619398</t>
  </si>
  <si>
    <t>Nyathikazi</t>
  </si>
  <si>
    <t>018102</t>
  </si>
  <si>
    <t>Sisanda</t>
  </si>
  <si>
    <t>0820885195</t>
  </si>
  <si>
    <t>Nyathikazi619425</t>
  </si>
  <si>
    <t>Emily</t>
  </si>
  <si>
    <t xml:space="preserve">Lebogang Emily MANGANE </t>
  </si>
  <si>
    <t>Ragophala</t>
  </si>
  <si>
    <t>Tebogo</t>
  </si>
  <si>
    <t>lebogang.mangane@maharishinstitute.org</t>
  </si>
  <si>
    <t>Ragophala619426</t>
  </si>
  <si>
    <t>lmangane@miu.edu</t>
  </si>
  <si>
    <t>619399</t>
  </si>
  <si>
    <t>15253</t>
  </si>
  <si>
    <t>064 039 5896</t>
  </si>
  <si>
    <t>Ramaahlo</t>
  </si>
  <si>
    <t>Ramaahlo619427</t>
  </si>
  <si>
    <t>Celia</t>
  </si>
  <si>
    <t>Gopolang Celia MASEMOLA</t>
  </si>
  <si>
    <t xml:space="preserve">gopolang.masemola18@maharishinstitute.org </t>
  </si>
  <si>
    <t>gmasemola@miu.edu</t>
  </si>
  <si>
    <t>619400</t>
  </si>
  <si>
    <t>018114</t>
  </si>
  <si>
    <t>0717499053</t>
  </si>
  <si>
    <t>Seelamo</t>
  </si>
  <si>
    <t>Boitumelo</t>
  </si>
  <si>
    <t>YES  program{ academic department} TA</t>
  </si>
  <si>
    <t>Seelamo619428</t>
  </si>
  <si>
    <t>Titelo</t>
  </si>
  <si>
    <t>Morongwa Titelo MASHAPA</t>
  </si>
  <si>
    <t>Sehloho</t>
  </si>
  <si>
    <t>morongwa.mashapa18@maharishinstitute.org</t>
  </si>
  <si>
    <t>YES  program{ Foundation Phase TA}</t>
  </si>
  <si>
    <t>Sehloho619429</t>
  </si>
  <si>
    <t>mmashapa@miu.edu</t>
  </si>
  <si>
    <t>619401</t>
  </si>
  <si>
    <t>017533</t>
  </si>
  <si>
    <t>0660137718</t>
  </si>
  <si>
    <t xml:space="preserve">01 August 2026  </t>
  </si>
  <si>
    <t>Sehunwe</t>
  </si>
  <si>
    <t>Letlhogonolo</t>
  </si>
  <si>
    <t>Snenhlanhla</t>
  </si>
  <si>
    <t>Sehunwe619430</t>
  </si>
  <si>
    <t>Anele Snenhlanhla MBATHA</t>
  </si>
  <si>
    <t>anele.Mbatha18@maharishinstitute.org</t>
  </si>
  <si>
    <t>ambatha@miu.edu</t>
  </si>
  <si>
    <t>619402</t>
  </si>
  <si>
    <t>YES  program{ Consciousness department}</t>
  </si>
  <si>
    <t>018136</t>
  </si>
  <si>
    <t>071 255 7836</t>
  </si>
  <si>
    <t>Serame</t>
  </si>
  <si>
    <t>Amogelang</t>
  </si>
  <si>
    <t>Serame619431</t>
  </si>
  <si>
    <t>Floyd MHLONGO</t>
  </si>
  <si>
    <t>floyd.mhlongo18@maharishinstitute.org</t>
  </si>
  <si>
    <t>fmhlongo@miu.edu</t>
  </si>
  <si>
    <t>619403</t>
  </si>
  <si>
    <t>018323</t>
  </si>
  <si>
    <t>0792802919</t>
  </si>
  <si>
    <t>Setlhodi</t>
  </si>
  <si>
    <t>Masego</t>
  </si>
  <si>
    <t>Setlhodi619432</t>
  </si>
  <si>
    <t xml:space="preserve">Sisipho </t>
  </si>
  <si>
    <t>Yamekelani Sisipho MNDWETYWA</t>
  </si>
  <si>
    <t>Work Study {Foundation Phase}</t>
  </si>
  <si>
    <t>Simelane</t>
  </si>
  <si>
    <t>yamkelani.mtilwa@maharishinstitute.org</t>
  </si>
  <si>
    <t>Zamani</t>
  </si>
  <si>
    <t>Simelane619433</t>
  </si>
  <si>
    <t>Tembe</t>
  </si>
  <si>
    <t>Purple Group</t>
  </si>
  <si>
    <t>Nothando</t>
  </si>
  <si>
    <t>Tembe619434</t>
  </si>
  <si>
    <t>Vilakazi</t>
  </si>
  <si>
    <t>Junior</t>
  </si>
  <si>
    <t>Vilakazi619435</t>
  </si>
  <si>
    <t>FMA {System Development }</t>
  </si>
  <si>
    <t>Zibonti</t>
  </si>
  <si>
    <t>Zingisa</t>
  </si>
  <si>
    <t>Zibonti618954</t>
  </si>
  <si>
    <t>Work Study { Foundation Phase}</t>
  </si>
  <si>
    <t>ymndwetywa@miu.edu</t>
  </si>
  <si>
    <t>619404</t>
  </si>
  <si>
    <t>017156</t>
  </si>
  <si>
    <t xml:space="preserve">Ontlametse </t>
  </si>
  <si>
    <t>067 056 8932</t>
  </si>
  <si>
    <t>FMA</t>
  </si>
  <si>
    <t xml:space="preserve">Elsie </t>
  </si>
  <si>
    <t>Boitshoko Elsie MOEMA</t>
  </si>
  <si>
    <t>boitshoko.moema@maharishinstitute.org</t>
  </si>
  <si>
    <t>bmoema@miu</t>
  </si>
  <si>
    <t>619405</t>
  </si>
  <si>
    <t>External Workstudy</t>
  </si>
  <si>
    <t>017125</t>
  </si>
  <si>
    <t>0790392649</t>
  </si>
  <si>
    <t xml:space="preserve">William </t>
  </si>
  <si>
    <t>Karabo William MOLALETSA</t>
  </si>
  <si>
    <t>karabo.molaletsa@maharishinstitute.org</t>
  </si>
  <si>
    <t>kmolaletsa@miu.edu</t>
  </si>
  <si>
    <t>619406</t>
  </si>
  <si>
    <t>017554</t>
  </si>
  <si>
    <t>067 816 7233</t>
  </si>
  <si>
    <t xml:space="preserve">Aobakwe  </t>
  </si>
  <si>
    <t xml:space="preserve">MII  Work study Foundation phase </t>
  </si>
  <si>
    <t>Refilwe MONAMETSI</t>
  </si>
  <si>
    <t>refilwe.monametsi@maharishinstitute.org</t>
  </si>
  <si>
    <t>rmonametsi@miu.edu</t>
  </si>
  <si>
    <t>Learnership {HR Assistant}</t>
  </si>
  <si>
    <t>0810362015</t>
  </si>
  <si>
    <t>Lucas</t>
  </si>
  <si>
    <t>Molebatsi Lucas MORE</t>
  </si>
  <si>
    <t>molebatsi.More18@maharishinstitute.org</t>
  </si>
  <si>
    <t>mmore@miu.edu</t>
  </si>
  <si>
    <t>078 998 6785</t>
  </si>
  <si>
    <t>External Work study</t>
  </si>
  <si>
    <t>Tsolaka</t>
  </si>
  <si>
    <t>Tshegofatso Tsolaka MOTIMELE</t>
  </si>
  <si>
    <t>tshegofatso.motimele@maharishinstitute.org</t>
  </si>
  <si>
    <t>tmotimele@miu.edu</t>
  </si>
  <si>
    <t>Email sent on the 09/09/2026 for absenteeism</t>
  </si>
  <si>
    <t xml:space="preserve">Internship </t>
  </si>
  <si>
    <t>Absa</t>
  </si>
  <si>
    <t xml:space="preserve">Ngcobo </t>
  </si>
  <si>
    <t>073 986 9830</t>
  </si>
  <si>
    <t>Work-study</t>
  </si>
  <si>
    <t xml:space="preserve">Sewing Department </t>
  </si>
  <si>
    <t>WSS</t>
  </si>
  <si>
    <t>Millicent</t>
  </si>
  <si>
    <t>Sanele Millicent MTHETHWA</t>
  </si>
  <si>
    <t>sanele.mthethwa@maharishinstitute.org</t>
  </si>
  <si>
    <t>smthethwa@miu.edu</t>
  </si>
  <si>
    <t xml:space="preserve">Kuku </t>
  </si>
  <si>
    <t>073 926 9931</t>
  </si>
  <si>
    <t>Practicum ended</t>
  </si>
  <si>
    <t>Vuyolwethu MTSHAKAZI</t>
  </si>
  <si>
    <t>vuyolwethu.mtshakazi@maharishinstitute.org</t>
  </si>
  <si>
    <t>vmtshakazi@miu.edu</t>
  </si>
  <si>
    <t>078 798 7160</t>
  </si>
  <si>
    <t>Practicum department</t>
  </si>
  <si>
    <t>Keoagile</t>
  </si>
  <si>
    <t>Ontlametse Keoagile NAWA</t>
  </si>
  <si>
    <t>ontlametse.nawa18@maharishinstitute.org</t>
  </si>
  <si>
    <t>onawa@miu.edu</t>
  </si>
  <si>
    <t>619412</t>
  </si>
  <si>
    <t>0606270780</t>
  </si>
  <si>
    <t>Sbongiseni</t>
  </si>
  <si>
    <t>Thembisile Sbongiseni NCUBE</t>
  </si>
  <si>
    <t>YES  program{ academic department}</t>
  </si>
  <si>
    <t>thembisile.ncube@maharishinstitute.org</t>
  </si>
  <si>
    <t>tncube@miu.edu</t>
  </si>
  <si>
    <t>619413</t>
  </si>
  <si>
    <t>017163</t>
  </si>
  <si>
    <t>067 273 7929</t>
  </si>
  <si>
    <t>Solomon</t>
  </si>
  <si>
    <t>Aobakwe Solomon NDABA</t>
  </si>
  <si>
    <t>solomon.ndaba@maharishinstitute.org</t>
  </si>
  <si>
    <t>andaba@miu.edu</t>
  </si>
  <si>
    <t>065 669 5128</t>
  </si>
  <si>
    <t>Vumile</t>
  </si>
  <si>
    <t>Ncinci Vumile NDABA</t>
  </si>
  <si>
    <t>ndabav@maharishinstitute.org</t>
  </si>
  <si>
    <t>nndaba@miu.edu</t>
  </si>
  <si>
    <t>079 793 6449</t>
  </si>
  <si>
    <t xml:space="preserve">Work Study - Consciousness Department </t>
  </si>
  <si>
    <t>Thandeka</t>
  </si>
  <si>
    <t>Princess Thandeka NDLELA</t>
  </si>
  <si>
    <t>princess.ndlela@maharishinstitute.org</t>
  </si>
  <si>
    <t>pndlela@miu.edu</t>
  </si>
  <si>
    <t>069 506 2124</t>
  </si>
  <si>
    <t>YES Program: 3G Mobile</t>
  </si>
  <si>
    <t>Skills Department {Business Advisor}</t>
  </si>
  <si>
    <t>Cynthia</t>
  </si>
  <si>
    <t>Sedzani Cynthia NDOU</t>
  </si>
  <si>
    <t>sedzani.ndou@maharishinstitute.org</t>
  </si>
  <si>
    <t>sndou@miu.edu</t>
  </si>
  <si>
    <t xml:space="preserve">Boitumelo </t>
  </si>
  <si>
    <t xml:space="preserve">Facilities department </t>
  </si>
  <si>
    <t>0637206409</t>
  </si>
  <si>
    <t>Work-Study</t>
  </si>
  <si>
    <t xml:space="preserve">TA Consciousness Department </t>
  </si>
  <si>
    <t xml:space="preserve">Absa </t>
  </si>
  <si>
    <t>Pretty</t>
  </si>
  <si>
    <t>Hlengiwe Pretty NGCOBO</t>
  </si>
  <si>
    <t>ngcoboh@maharishinstitute.org</t>
  </si>
  <si>
    <t>hngcobo@miu.edu</t>
  </si>
  <si>
    <t>071 079 8362</t>
  </si>
  <si>
    <t>YES  program{ Foundation  department}</t>
  </si>
  <si>
    <t xml:space="preserve">Bridget </t>
  </si>
  <si>
    <t>Kuku Bridget NHLABATHI</t>
  </si>
  <si>
    <t>kuku.Nhlabathi18@maharishinstitute.org</t>
  </si>
  <si>
    <t>knhlabathi@miu.edu</t>
  </si>
  <si>
    <t>0678093809</t>
  </si>
  <si>
    <t>MII Library</t>
  </si>
  <si>
    <t>Unathi NKAWULE</t>
  </si>
  <si>
    <t>unathi.nkawule18@maharishinstitute.org</t>
  </si>
  <si>
    <t>unkawule@miu.edu</t>
  </si>
  <si>
    <t>083 857 0796</t>
  </si>
  <si>
    <t>Thobeka NKOSI</t>
  </si>
  <si>
    <t>thobeka.nkosi@maharishinstitute.org</t>
  </si>
  <si>
    <t>Learnership</t>
  </si>
  <si>
    <t>tnkosi@miu.edu</t>
  </si>
  <si>
    <t>068 746 6428</t>
  </si>
  <si>
    <t>BPW</t>
  </si>
  <si>
    <t>Gomolemo</t>
  </si>
  <si>
    <t>Bertha Gomolemo NOKANE</t>
  </si>
  <si>
    <t>bertha.Nokane18@maharishinstitute.org</t>
  </si>
  <si>
    <t xml:space="preserve"> </t>
  </si>
  <si>
    <t>bnokane@miu.edu</t>
  </si>
  <si>
    <t>0631943129</t>
  </si>
  <si>
    <t>Jane</t>
  </si>
  <si>
    <t>Lethabo Jane NOKERI</t>
  </si>
  <si>
    <t>lethabo.Nokeri18@maharishinstitute.org</t>
  </si>
  <si>
    <t>lnokeri@miu.edu</t>
  </si>
  <si>
    <t>0781779416</t>
  </si>
  <si>
    <t xml:space="preserve">Nothando </t>
  </si>
  <si>
    <t>Gcinile Princess Ntombela</t>
  </si>
  <si>
    <t>gcinile.ntombela18@maharishinstitute.org</t>
  </si>
  <si>
    <t>gntombela@miu.edu</t>
  </si>
  <si>
    <t xml:space="preserve">DSA department </t>
  </si>
  <si>
    <t>0659702704</t>
  </si>
  <si>
    <t>Briantha</t>
  </si>
  <si>
    <t>Zanele Briantha NYATHI</t>
  </si>
  <si>
    <t>zanele.nyathi@maharishinstitute.org</t>
  </si>
  <si>
    <t>znyathi@miu.edu</t>
  </si>
  <si>
    <t>067 074 6406</t>
  </si>
  <si>
    <t xml:space="preserve">Personal Work study and MII Library Work Study </t>
  </si>
  <si>
    <t xml:space="preserve">Yolanda </t>
  </si>
  <si>
    <t>Sisanda Yolanda NYATHIKAZI</t>
  </si>
  <si>
    <t>nyathikazis@maharishinstitute.org</t>
  </si>
  <si>
    <t>snyathikazi@miu.edu</t>
  </si>
  <si>
    <t>073 693 5861</t>
  </si>
  <si>
    <t>Tebogo RAMAAHLO</t>
  </si>
  <si>
    <t>tebogo.Ramaahlo18@maharishinstitute.org</t>
  </si>
  <si>
    <t>tramaahlo@miu.edu</t>
  </si>
  <si>
    <t>0658137869</t>
  </si>
  <si>
    <t>Olebogeng</t>
  </si>
  <si>
    <t>Boitumelo Olebogeng SEELAMO</t>
  </si>
  <si>
    <t>boitumelo.seelamo18@maharishinstitute.org</t>
  </si>
  <si>
    <t>bseelamo@miu.edu</t>
  </si>
  <si>
    <t>071 892 3788</t>
  </si>
  <si>
    <t>Karabo SEHLOHO</t>
  </si>
  <si>
    <t>karabo.Sehlolo18@maharishinstitute.org</t>
  </si>
  <si>
    <t>ksehloho@miu.edu</t>
  </si>
  <si>
    <t>065 584 0161</t>
  </si>
  <si>
    <t xml:space="preserve">Lethogonolo SEHUNWE </t>
  </si>
  <si>
    <t>letlhogonolo.sehunwe18@maharishinstitute.org</t>
  </si>
  <si>
    <t>lsehunwe@miu.edu</t>
  </si>
  <si>
    <t>068 384 2455</t>
  </si>
  <si>
    <t>Amogelang SERAME</t>
  </si>
  <si>
    <t>amogelang.serame@maharishinstitute.org</t>
  </si>
  <si>
    <t>aserame@miu.edu</t>
  </si>
  <si>
    <t>066 238 2052</t>
  </si>
  <si>
    <t>Ofentse</t>
  </si>
  <si>
    <t>Masego Ofentse SETLHODI</t>
  </si>
  <si>
    <t>masego.Setlhodi18@maharishinstitute.org</t>
  </si>
  <si>
    <t>msetlhodi@miu.edu</t>
  </si>
  <si>
    <t>081 712 1331</t>
  </si>
  <si>
    <t>Zamani SIMELANE</t>
  </si>
  <si>
    <t>Simelanez@maharishinstitute.org</t>
  </si>
  <si>
    <t>zsimelane@miu.edu</t>
  </si>
  <si>
    <t>0663215002</t>
  </si>
  <si>
    <t xml:space="preserve">Samukelisiwe </t>
  </si>
  <si>
    <t>Nothando Samukelisiwe TEMBE</t>
  </si>
  <si>
    <t>noluthando.Tembe18@maharishinstitute.org</t>
  </si>
  <si>
    <t>ntembe@miu.edu</t>
  </si>
  <si>
    <t>0767210522</t>
  </si>
  <si>
    <t>Ilajar</t>
  </si>
  <si>
    <t>Junior Ilajar VILAKAZI</t>
  </si>
  <si>
    <t>junior.vilakazi@maharishinstitute.org</t>
  </si>
  <si>
    <t>jvilakazi@miu.edu</t>
  </si>
  <si>
    <t>0783250003</t>
  </si>
  <si>
    <t>Nomazibulo</t>
  </si>
  <si>
    <t>Zingisa Nomazibulo ZIBONTI</t>
  </si>
  <si>
    <t>zingisa.zibonti@maharishinstitute.org</t>
  </si>
  <si>
    <t>zzibonti@miu.edu</t>
  </si>
  <si>
    <t>073 504 7208</t>
  </si>
  <si>
    <t>Durban</t>
  </si>
  <si>
    <t>Total number of student</t>
  </si>
  <si>
    <t>Total male students</t>
  </si>
  <si>
    <t xml:space="preserve">Total female students </t>
  </si>
  <si>
    <t>Johannesburg</t>
  </si>
  <si>
    <t>Total number of students</t>
  </si>
  <si>
    <t>Total female students</t>
  </si>
  <si>
    <t xml:space="preserve">Student De-registered (Fradulent visa papers) </t>
  </si>
  <si>
    <t>Nobuhle MAKEKE</t>
  </si>
  <si>
    <t>nobuhle.makeke@maharishinstitute.org</t>
  </si>
  <si>
    <t>nmakeke@miu.edu</t>
  </si>
  <si>
    <t>619395</t>
  </si>
  <si>
    <t>017080</t>
  </si>
  <si>
    <t>0670263144</t>
  </si>
  <si>
    <t>Student removed from the class due to 6 days absenteeism and DFHP credits</t>
  </si>
  <si>
    <t xml:space="preserve">Daniel </t>
  </si>
  <si>
    <t>Tebogo Daniel RAGOPHALA</t>
  </si>
  <si>
    <t>tebogo.ragophala@maharishinstitute.org</t>
  </si>
  <si>
    <t>tragophala@miu.edu</t>
  </si>
  <si>
    <t>078 623 7467</t>
  </si>
  <si>
    <t>Student is on Maternity Leave</t>
  </si>
  <si>
    <t>Refilwe LEPHOTO</t>
  </si>
  <si>
    <t>refilwe.lephoto@maharishinstitute.org</t>
  </si>
  <si>
    <t>rlephoto@miu.edu</t>
  </si>
  <si>
    <t>619391</t>
  </si>
  <si>
    <t>017054</t>
  </si>
  <si>
    <t>0781462258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</si>
  <si>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</si>
  <si>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</si>
  <si>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</si>
  <si>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</si>
  <si>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</si>
  <si>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</si>
  <si>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</si>
  <si>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</si>
  <si>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Four Weeks Accumulative Points</t>
  </si>
  <si>
    <t>Accumulative points</t>
  </si>
  <si>
    <t>First four weeks %</t>
  </si>
  <si>
    <t>End of block</t>
  </si>
  <si>
    <t>Additional points needed</t>
  </si>
  <si>
    <t>Email informing student of low credits sent on 17/09/2026</t>
  </si>
  <si>
    <t>Email informing student of low credits sent on 20/08/2026</t>
  </si>
  <si>
    <t>Email informing student of low credits sent on 03/09/2026</t>
  </si>
  <si>
    <t>Email informing student of low credits sent on 27/08/2026</t>
  </si>
  <si>
    <t xml:space="preserve">Hlengiwe  </t>
  </si>
  <si>
    <t>Email informing student of low credits sent on 14/09/2026</t>
  </si>
  <si>
    <t xml:space="preserve">Sisanda </t>
  </si>
  <si>
    <t xml:space="preserve">Zamani </t>
  </si>
  <si>
    <t>Total number of students sent emails</t>
  </si>
  <si>
    <t xml:space="preserve">Total number of students that recovered </t>
  </si>
  <si>
    <t xml:space="preserve">Total number who are left behind </t>
  </si>
  <si>
    <t>MGT-378 Marketing Management</t>
  </si>
  <si>
    <t>Student attended class</t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</si>
  <si>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</si>
  <si>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t>Program Attendance</t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</si>
  <si>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</si>
  <si>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</si>
  <si>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</si>
  <si>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t xml:space="preserve">Friday Program </t>
  </si>
  <si>
    <t xml:space="preserve">Saturday </t>
  </si>
  <si>
    <t>NR</t>
  </si>
  <si>
    <t>Group</t>
  </si>
  <si>
    <t xml:space="preserve">Location </t>
  </si>
  <si>
    <t>Last Name</t>
  </si>
  <si>
    <t>MONDAY</t>
  </si>
  <si>
    <t xml:space="preserve">Online/In Class </t>
  </si>
  <si>
    <t xml:space="preserve">Student Behavior in Class Comments </t>
  </si>
  <si>
    <t xml:space="preserve">Morning </t>
  </si>
  <si>
    <t>Afternoon</t>
  </si>
  <si>
    <t>TUESDAY</t>
  </si>
  <si>
    <t>WEDNESDAY</t>
  </si>
  <si>
    <t>THURSDAY</t>
  </si>
  <si>
    <t>Morning</t>
  </si>
  <si>
    <t>PM- Extra</t>
  </si>
  <si>
    <t>AM-Extra</t>
  </si>
  <si>
    <t>Total absence this week</t>
  </si>
  <si>
    <t xml:space="preserve">Total Program Attendance this week </t>
  </si>
  <si>
    <t xml:space="preserve">Oustanding Credits </t>
  </si>
  <si>
    <t>In class</t>
  </si>
  <si>
    <t>Busy on her phone</t>
  </si>
  <si>
    <t>Not paying attention in class</t>
  </si>
  <si>
    <t>Left class at 17:10, did not say anything to us.</t>
  </si>
  <si>
    <t>Logged in at 16:16. Left class at 16:50</t>
  </si>
  <si>
    <t xml:space="preserve">No </t>
  </si>
  <si>
    <t>Absent</t>
  </si>
  <si>
    <t>The camera is off and she has been notified, she only switched it on after being notified at 16:38</t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</si>
  <si>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</si>
  <si>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</si>
  <si>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</si>
  <si>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</si>
  <si>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t>2nd- Morning</t>
  </si>
  <si>
    <t>The camera is off and reported that it is giving her problems.</t>
  </si>
  <si>
    <t>Took extra 20 minute for break.</t>
  </si>
  <si>
    <t>Not paying attention, busy on her phone</t>
  </si>
  <si>
    <t>Left class at 17:20</t>
  </si>
  <si>
    <t>Reported absent</t>
  </si>
  <si>
    <t>Busy on his phone</t>
  </si>
  <si>
    <t xml:space="preserve">                                                                                                            </t>
  </si>
  <si>
    <t>Arrived at 16:22, camera off</t>
  </si>
  <si>
    <t>Logged in at 16:32</t>
  </si>
  <si>
    <t xml:space="preserve">  Not paying attention, busy on her phone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</si>
  <si>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</si>
  <si>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</si>
  <si>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</si>
  <si>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</si>
  <si>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</si>
  <si>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</si>
  <si>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</si>
  <si>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</si>
  <si>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</si>
  <si>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t>Left at 17:10</t>
  </si>
  <si>
    <t>Left at 17:45</t>
  </si>
  <si>
    <t>Camera off from 16:48 - 16:58</t>
  </si>
  <si>
    <t>Arrived late at 16:28</t>
  </si>
  <si>
    <t>Joined class at 16:17</t>
  </si>
  <si>
    <t>Camera off from 17:10</t>
  </si>
  <si>
    <t>Camera off from 17:10 - 17:20</t>
  </si>
  <si>
    <t>Online/permission granted</t>
  </si>
  <si>
    <t>In class/Lesson not attended in full</t>
  </si>
  <si>
    <t>Left class at 16:32, did not report, left class at 16:28, did not report.</t>
  </si>
  <si>
    <t xml:space="preserve">Joined class at 16:16. Camera off from 17:10. </t>
  </si>
  <si>
    <t>Camera off from 17:40 - 17:54</t>
  </si>
  <si>
    <t>Left class at 16:28, did not report.</t>
  </si>
  <si>
    <t>Camera Off: The student stated that she had notified Thobile that her camera would be off. She is also not attending the class from Bryte; she is currently attending the class from another location. She did not notify us about attending on a different location.</t>
  </si>
  <si>
    <t>Camera off since 17:30</t>
  </si>
  <si>
    <t>Left before class end, I do not have the exact time I saw at 17:50</t>
  </si>
  <si>
    <t>Not sure if she was on campus or home, to be confirmed</t>
  </si>
  <si>
    <t>Camera off, notification was sent to student</t>
  </si>
  <si>
    <t>Busy with knitting</t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</si>
  <si>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</si>
  <si>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</si>
  <si>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</si>
  <si>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</si>
  <si>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t>Email received</t>
  </si>
  <si>
    <t>Logged in at 16:17</t>
  </si>
  <si>
    <t>Left class at 16:50 and came back at 17:03</t>
  </si>
  <si>
    <t>Took extra 10 minute for break</t>
  </si>
  <si>
    <t>Logged in at 16:19</t>
  </si>
  <si>
    <t>Logged in at home, received an email.</t>
  </si>
  <si>
    <t>Arrived at 16:30, took extra 15 minutes for break</t>
  </si>
  <si>
    <t>Logged in and left. Came back at 17:08</t>
  </si>
  <si>
    <t>Arrived at 16:25</t>
  </si>
  <si>
    <t xml:space="preserve">Left at 17:00, no communication received. </t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</si>
  <si>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</si>
  <si>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</si>
  <si>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</si>
  <si>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</si>
  <si>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</si>
  <si>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</si>
  <si>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</si>
  <si>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</si>
  <si>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</si>
  <si>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</si>
  <si>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</si>
  <si>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r>
      <rPr>
        <rFont val="Arial"/>
        <color theme="1"/>
      </rPr>
      <t>In class</t>
    </r>
    <r>
      <rPr>
        <rFont val="Arial"/>
        <b/>
        <color rgb="FF000000"/>
        <sz val="10.0"/>
      </rPr>
      <t xml:space="preserve"> OR</t>
    </r>
    <r>
      <rPr>
        <rFont val="Arial"/>
        <color rgb="FF000000"/>
        <sz val="10.0"/>
      </rPr>
      <t xml:space="preserve"> Online only</t>
    </r>
  </si>
  <si>
    <t>Class Options</t>
  </si>
  <si>
    <t>Absenteeism Days</t>
  </si>
  <si>
    <t xml:space="preserve">Program </t>
  </si>
  <si>
    <t xml:space="preserve">Detailed </t>
  </si>
  <si>
    <t>Did not attend Program</t>
  </si>
  <si>
    <t>Full program attendance</t>
  </si>
  <si>
    <t xml:space="preserve">Late Arrival </t>
  </si>
  <si>
    <t>Group Assignment</t>
  </si>
  <si>
    <t>Did not Asanas</t>
  </si>
  <si>
    <t>Late Arival less</t>
  </si>
  <si>
    <t>Online/Sick</t>
  </si>
  <si>
    <t xml:space="preserve">Online/ NO permission </t>
  </si>
  <si>
    <t>Public Holiday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</si>
</sst>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 mmmm yyyy"/>
    <numFmt numFmtId="165" formatCode="dd mmmm yyyy"/>
    <numFmt numFmtId="166" formatCode="d mmm yyyy"/>
    <numFmt numFmtId="167" formatCode="m/d/yyyy"/>
    <numFmt numFmtId="168" formatCode="dmmmm yyyy"/>
    <numFmt numFmtId="169" formatCode="0######"/>
    <numFmt numFmtId="170" formatCode="mmmm yyyy"/>
  </numFmts>
  <fonts count="1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4.0"/>
      <color theme="1"/>
      <name val="Arial"/>
    </font>
    <font>
      <sz val="12.0"/>
      <color theme="1"/>
      <name val="Times New Roman"/>
    </font>
    <font>
      <sz val="10.0"/>
      <color rgb="FF222222"/>
      <name val="Arial"/>
    </font>
    <font>
      <b/>
      <color theme="1"/>
      <name val="Arial"/>
    </font>
    <font>
      <b/>
      <sz val="12.0"/>
      <color theme="1"/>
      <name val="Times New Roman"/>
    </font>
    <font>
      <color theme="1"/>
      <name val="Arial"/>
      <scheme val="minor"/>
    </font>
    <font>
      <u/>
      <sz val="12.0"/>
      <color rgb="FF1155CC"/>
      <name val="Times New Roman"/>
    </font>
    <font>
      <sz val="12.0"/>
      <color rgb="FF222222"/>
      <name val="Times New Roman"/>
    </font>
    <font>
      <sz val="11.0"/>
      <color rgb="FF000000"/>
      <name val="Arial"/>
    </font>
    <font>
      <color rgb="FF222222"/>
      <name val="Arial"/>
    </font>
    <font>
      <color theme="1"/>
      <name val="Times New Roman"/>
    </font>
    <font/>
    <font>
      <b/>
      <sz val="14.0"/>
      <color theme="1"/>
      <name val="Verdana"/>
    </font>
    <font>
      <sz val="9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  <fill>
      <patternFill patternType="solid">
        <fgColor rgb="FFC4D79B"/>
        <bgColor rgb="FFC4D79B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4285F4"/>
        <bgColor rgb="FF4285F4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0" fontId="4" numFmtId="0" xfId="0" applyFont="1"/>
    <xf borderId="0" fillId="2" fontId="5" numFmtId="0" xfId="0" applyAlignment="1" applyFill="1" applyFont="1">
      <alignment readingOrder="0"/>
    </xf>
    <xf borderId="1" fillId="2" fontId="1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readingOrder="0" vertical="bottom"/>
    </xf>
    <xf borderId="0" fillId="2" fontId="6" numFmtId="0" xfId="0" applyAlignment="1" applyFill="1" applyFont="1">
      <alignment shrinkToFit="0" vertical="bottom" wrapText="1"/>
    </xf>
    <xf borderId="1" fillId="3" fontId="6" numFmtId="0" xfId="0" applyAlignment="1" applyBorder="1" applyFill="1" applyFont="1">
      <alignment horizontal="center" vertical="bottom"/>
    </xf>
    <xf borderId="0" fillId="2" fontId="6" numFmtId="0" xfId="0" applyAlignment="1" applyFill="1" applyFont="1">
      <alignment vertical="bottom"/>
    </xf>
    <xf borderId="2" fillId="2" fontId="1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5" fontId="2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ill="1" applyFont="1">
      <alignment vertical="bottom"/>
    </xf>
    <xf borderId="2" fillId="6" fontId="4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1" fillId="7" fontId="2" numFmtId="0" xfId="0" applyAlignment="1" applyBorder="1" applyFill="1" applyFont="1">
      <alignment shrinkToFit="0" vertical="bottom" wrapText="1"/>
    </xf>
    <xf borderId="1" fillId="2" fontId="1" numFmtId="0" xfId="0" applyAlignment="1" applyBorder="1" applyFill="1" applyFont="1">
      <alignment horizontal="center" readingOrder="0" vertical="bottom"/>
    </xf>
    <xf borderId="1" fillId="8" fontId="2" numFmtId="0" xfId="0" applyAlignment="1" applyBorder="1" applyFill="1" applyFont="1">
      <alignment shrinkToFit="0" vertical="bottom" wrapText="1"/>
    </xf>
    <xf borderId="1" fillId="8" fontId="2" numFmtId="0" xfId="0" applyAlignment="1" applyBorder="1" applyFill="1" applyFont="1">
      <alignment readingOrder="0" shrinkToFit="0" vertical="bottom" wrapText="1"/>
    </xf>
    <xf borderId="3" fillId="6" fontId="4" numFmtId="0" xfId="0" applyAlignment="1" applyBorder="1" applyFill="1" applyFont="1">
      <alignment horizontal="center" readingOrder="0" vertical="bottom"/>
    </xf>
    <xf borderId="1" fillId="8" fontId="2" numFmtId="0" xfId="0" applyAlignment="1" applyBorder="1" applyFill="1" applyFont="1">
      <alignment vertical="bottom"/>
    </xf>
    <xf borderId="4" fillId="6" fontId="4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4" fillId="6" fontId="2" numFmtId="0" xfId="0" applyAlignment="1" applyBorder="1" applyFill="1" applyFont="1">
      <alignment vertical="bottom"/>
    </xf>
    <xf borderId="2" fillId="0" fontId="4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2" fillId="6" fontId="4" numFmtId="0" xfId="0" applyAlignment="1" applyBorder="1" applyFill="1" applyFont="1">
      <alignment vertical="bottom"/>
    </xf>
    <xf borderId="1" fillId="9" fontId="4" numFmtId="0" xfId="0" applyAlignment="1" applyBorder="1" applyFill="1" applyFont="1">
      <alignment vertical="bottom"/>
    </xf>
    <xf borderId="1" fillId="6" fontId="4" numFmtId="0" xfId="0" applyAlignment="1" applyBorder="1" applyFill="1" applyFont="1">
      <alignment readingOrder="0"/>
    </xf>
    <xf borderId="4" fillId="6" fontId="4" numFmtId="49" xfId="0" applyAlignment="1" applyBorder="1" applyFill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4" fillId="6" fontId="4" numFmtId="49" xfId="0" applyAlignment="1" applyBorder="1" applyFill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4" fillId="0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right" readingOrder="0" vertical="bottom"/>
    </xf>
    <xf borderId="4" fillId="4" fontId="4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vertical="bottom"/>
    </xf>
    <xf borderId="3" fillId="0" fontId="7" numFmtId="0" xfId="0" applyAlignment="1" applyBorder="1" applyFont="1">
      <alignment vertical="bottom"/>
    </xf>
    <xf borderId="1" fillId="4" fontId="4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horizontal="center" shrinkToFit="0" vertical="bottom" wrapText="1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4" fillId="0" fontId="4" numFmtId="49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4" fillId="0" fontId="4" numFmtId="49" xfId="0" applyAlignment="1" applyBorder="1" applyFont="1" applyNumberFormat="1">
      <alignment horizontal="center" vertical="bottom"/>
    </xf>
    <xf borderId="4" fillId="4" fontId="4" numFmtId="49" xfId="0" applyAlignment="1" applyBorder="1" applyFill="1" applyFont="1" applyNumberFormat="1">
      <alignment horizontal="center" vertical="bottom"/>
    </xf>
    <xf borderId="4" fillId="0" fontId="4" numFmtId="0" xfId="0" applyAlignment="1" applyBorder="1" applyFont="1">
      <alignment vertical="bottom"/>
    </xf>
    <xf borderId="4" fillId="0" fontId="7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vertical="bottom"/>
    </xf>
    <xf borderId="4" fillId="4" fontId="4" numFmtId="49" xfId="0" applyAlignment="1" applyBorder="1" applyFill="1" applyFont="1" applyNumberFormat="1">
      <alignment horizontal="center" readingOrder="0" vertical="bottom"/>
    </xf>
    <xf borderId="4" fillId="0" fontId="2" numFmtId="0" xfId="0" applyAlignment="1" applyBorder="1" applyFont="1">
      <alignment vertical="bottom"/>
    </xf>
    <xf borderId="1" fillId="4" fontId="4" numFmtId="164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readingOrder="0" shrinkToFit="0" vertical="bottom" wrapText="1"/>
    </xf>
    <xf borderId="4" fillId="0" fontId="4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4" fontId="4" numFmtId="164" xfId="0" applyAlignment="1" applyBorder="1" applyFill="1" applyFont="1" applyNumberFormat="1">
      <alignment horizontal="right" readingOrder="0" vertical="bottom"/>
    </xf>
    <xf borderId="0" fillId="4" fontId="8" numFmtId="0" xfId="0" applyFill="1" applyFont="1"/>
    <xf borderId="1" fillId="0" fontId="2" numFmtId="0" xfId="0" applyAlignment="1" applyBorder="1" applyFont="1">
      <alignment readingOrder="0" vertical="bottom"/>
    </xf>
    <xf borderId="4" fillId="10" fontId="4" numFmtId="0" xfId="0" applyAlignment="1" applyBorder="1" applyFill="1" applyFont="1">
      <alignment horizontal="center" vertical="bottom"/>
    </xf>
    <xf borderId="4" fillId="10" fontId="2" numFmtId="0" xfId="0" applyAlignment="1" applyBorder="1" applyFill="1" applyFont="1">
      <alignment vertical="bottom"/>
    </xf>
    <xf borderId="1" fillId="0" fontId="4" numFmtId="166" xfId="0" applyAlignment="1" applyBorder="1" applyFont="1" applyNumberFormat="1">
      <alignment horizontal="right" vertical="bottom"/>
    </xf>
    <xf borderId="4" fillId="10" fontId="4" numFmtId="0" xfId="0" applyAlignment="1" applyBorder="1" applyFill="1" applyFont="1">
      <alignment vertical="bottom"/>
    </xf>
    <xf borderId="1" fillId="10" fontId="2" numFmtId="0" xfId="0" applyAlignment="1" applyBorder="1" applyFill="1" applyFont="1">
      <alignment vertical="bottom"/>
    </xf>
    <xf borderId="1" fillId="10" fontId="4" numFmtId="0" xfId="0" applyAlignment="1" applyBorder="1" applyFill="1" applyFont="1">
      <alignment vertical="bottom"/>
    </xf>
    <xf borderId="4" fillId="10" fontId="4" numFmtId="49" xfId="0" applyAlignment="1" applyBorder="1" applyFill="1" applyFont="1" applyNumberFormat="1">
      <alignment horizontal="center" readingOrder="0" vertical="bottom"/>
    </xf>
    <xf borderId="4" fillId="11" fontId="4" numFmtId="0" xfId="0" applyAlignment="1" applyBorder="1" applyFill="1" applyFont="1">
      <alignment vertical="bottom"/>
    </xf>
    <xf borderId="4" fillId="10" fontId="4" numFmtId="49" xfId="0" applyAlignment="1" applyBorder="1" applyFill="1" applyFont="1" applyNumberFormat="1">
      <alignment horizontal="center" vertical="bottom"/>
    </xf>
    <xf borderId="5" fillId="4" fontId="2" numFmtId="0" xfId="0" applyAlignment="1" applyBorder="1" applyFill="1" applyFont="1">
      <alignment vertical="bottom"/>
    </xf>
    <xf borderId="0" fillId="10" fontId="4" numFmtId="49" xfId="0" applyAlignment="1" applyFill="1" applyFont="1" applyNumberFormat="1">
      <alignment horizontal="right" vertical="bottom"/>
    </xf>
    <xf borderId="1" fillId="12" fontId="4" numFmtId="0" xfId="0" applyAlignment="1" applyBorder="1" applyFill="1" applyFont="1">
      <alignment shrinkToFit="0" vertical="bottom" wrapText="1"/>
    </xf>
    <xf borderId="6" fillId="4" fontId="2" numFmtId="0" xfId="0" applyAlignment="1" applyBorder="1" applyFill="1" applyFont="1">
      <alignment vertical="bottom"/>
    </xf>
    <xf borderId="2" fillId="4" fontId="2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horizontal="right" readingOrder="0" vertical="bottom"/>
    </xf>
    <xf borderId="1" fillId="4" fontId="4" numFmtId="0" xfId="0" applyAlignment="1" applyBorder="1" applyFill="1" applyFont="1">
      <alignment shrinkToFit="0" vertical="bottom" wrapText="1"/>
    </xf>
    <xf borderId="1" fillId="4" fontId="4" numFmtId="167" xfId="0" applyAlignment="1" applyBorder="1" applyFill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13" fontId="4" numFmtId="164" xfId="0" applyAlignment="1" applyBorder="1" applyFill="1" applyFont="1" applyNumberFormat="1">
      <alignment horizontal="right" vertical="bottom"/>
    </xf>
    <xf borderId="4" fillId="4" fontId="4" numFmtId="0" xfId="0" applyAlignment="1" applyBorder="1" applyFill="1" applyFont="1">
      <alignment horizontal="center" vertical="bottom"/>
    </xf>
    <xf borderId="4" fillId="4" fontId="2" numFmtId="0" xfId="0" applyAlignment="1" applyBorder="1" applyFill="1" applyFont="1">
      <alignment vertical="bottom"/>
    </xf>
    <xf borderId="1" fillId="0" fontId="4" numFmtId="168" xfId="0" applyAlignment="1" applyBorder="1" applyFont="1" applyNumberFormat="1">
      <alignment horizontal="right" vertical="bottom"/>
    </xf>
    <xf borderId="1" fillId="4" fontId="7" numFmtId="0" xfId="0" applyAlignment="1" applyBorder="1" applyFill="1" applyFont="1">
      <alignment vertical="bottom"/>
    </xf>
    <xf borderId="0" fillId="4" fontId="2" numFmtId="49" xfId="0" applyAlignment="1" applyFill="1" applyFont="1" applyNumberFormat="1">
      <alignment vertical="bottom"/>
    </xf>
    <xf borderId="1" fillId="9" fontId="4" numFmtId="0" xfId="0" applyAlignment="1" applyBorder="1" applyFill="1" applyFont="1">
      <alignment vertical="bottom"/>
    </xf>
    <xf borderId="0" fillId="6" fontId="2" numFmtId="0" xfId="0" applyAlignment="1" applyFill="1" applyFont="1">
      <alignment horizontal="right" vertical="bottom"/>
    </xf>
    <xf borderId="1" fillId="4" fontId="4" numFmtId="49" xfId="0" applyAlignment="1" applyBorder="1" applyFill="1" applyFont="1" applyNumberFormat="1">
      <alignment horizontal="right" readingOrder="0" vertical="bottom"/>
    </xf>
    <xf borderId="1" fillId="4" fontId="4" numFmtId="165" xfId="0" applyAlignment="1" applyBorder="1" applyFill="1" applyFont="1" applyNumberFormat="1">
      <alignment horizontal="right" vertical="bottom"/>
    </xf>
    <xf borderId="1" fillId="10" fontId="9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readingOrder="0" shrinkToFit="0" vertical="bottom" wrapText="1"/>
    </xf>
    <xf borderId="4" fillId="0" fontId="4" numFmtId="0" xfId="0" applyAlignment="1" applyBorder="1" applyFont="1">
      <alignment horizontal="center" readingOrder="0" vertical="bottom"/>
    </xf>
    <xf borderId="0" fillId="4" fontId="10" numFmtId="165" xfId="0" applyAlignment="1" applyFill="1" applyFont="1" applyNumberFormat="1">
      <alignment horizontal="right" vertical="bottom"/>
    </xf>
    <xf borderId="7" fillId="4" fontId="4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14" fontId="2" numFmtId="0" xfId="0" applyAlignment="1" applyFill="1" applyFont="1">
      <alignment horizontal="right" vertical="bottom"/>
    </xf>
    <xf borderId="2" fillId="4" fontId="4" numFmtId="0" xfId="0" applyAlignment="1" applyBorder="1" applyFill="1" applyFont="1">
      <alignment vertical="bottom"/>
    </xf>
    <xf borderId="4" fillId="10" fontId="4" numFmtId="0" xfId="0" applyAlignment="1" applyBorder="1" applyFill="1" applyFont="1">
      <alignment horizontal="center" readingOrder="0" vertical="bottom"/>
    </xf>
    <xf borderId="0" fillId="0" fontId="11" numFmtId="0" xfId="0" applyAlignment="1" applyFont="1">
      <alignment readingOrder="0"/>
    </xf>
    <xf borderId="4" fillId="10" fontId="4" numFmtId="0" xfId="0" applyAlignment="1" applyBorder="1" applyFill="1" applyFont="1">
      <alignment horizontal="center" vertical="bottom"/>
    </xf>
    <xf borderId="0" fillId="4" fontId="10" numFmtId="0" xfId="0" applyAlignment="1" applyFill="1" applyFont="1">
      <alignment vertical="bottom"/>
    </xf>
    <xf borderId="0" fillId="4" fontId="12" numFmtId="0" xfId="0" applyAlignment="1" applyFill="1" applyFont="1">
      <alignment readingOrder="0"/>
    </xf>
    <xf borderId="0" fillId="4" fontId="12" numFmtId="165" xfId="0" applyAlignment="1" applyFill="1" applyFont="1" applyNumberFormat="1">
      <alignment readingOrder="0"/>
    </xf>
    <xf borderId="0" fillId="0" fontId="11" numFmtId="0" xfId="0" applyFont="1"/>
    <xf borderId="4" fillId="0" fontId="4" numFmtId="169" xfId="0" applyAlignment="1" applyBorder="1" applyFont="1" applyNumberFormat="1">
      <alignment horizontal="center" vertical="bottom"/>
    </xf>
    <xf borderId="1" fillId="4" fontId="4" numFmtId="0" xfId="0" applyAlignment="1" applyBorder="1" applyFill="1" applyFont="1">
      <alignment horizontal="right" vertical="bottom"/>
    </xf>
    <xf borderId="4" fillId="15" fontId="4" numFmtId="0" xfId="0" applyAlignment="1" applyBorder="1" applyFill="1" applyFont="1">
      <alignment horizontal="center" vertical="bottom"/>
    </xf>
    <xf borderId="4" fillId="15" fontId="2" numFmtId="0" xfId="0" applyAlignment="1" applyBorder="1" applyFill="1" applyFont="1">
      <alignment vertical="bottom"/>
    </xf>
    <xf borderId="2" fillId="15" fontId="4" numFmtId="0" xfId="0" applyAlignment="1" applyBorder="1" applyFill="1" applyFont="1">
      <alignment vertical="bottom"/>
    </xf>
    <xf borderId="1" fillId="15" fontId="4" numFmtId="0" xfId="0" applyAlignment="1" applyBorder="1" applyFill="1" applyFont="1">
      <alignment vertical="bottom"/>
    </xf>
    <xf borderId="4" fillId="15" fontId="4" numFmtId="0" xfId="0" applyAlignment="1" applyBorder="1" applyFill="1" applyFont="1">
      <alignment horizontal="center" readingOrder="0" vertical="bottom"/>
    </xf>
    <xf borderId="4" fillId="15" fontId="4" numFmtId="0" xfId="0" applyAlignment="1" applyBorder="1" applyFill="1" applyFont="1">
      <alignment horizontal="center" vertical="bottom"/>
    </xf>
    <xf borderId="4" fillId="15" fontId="4" numFmtId="49" xfId="0" applyAlignment="1" applyBorder="1" applyFill="1" applyFont="1" applyNumberFormat="1">
      <alignment horizontal="center" vertical="bottom"/>
    </xf>
    <xf borderId="0" fillId="15" fontId="2" numFmtId="0" xfId="0" applyAlignment="1" applyFill="1" applyFont="1">
      <alignment readingOrder="0" vertical="bottom"/>
    </xf>
    <xf borderId="4" fillId="4" fontId="4" numFmtId="0" xfId="0" applyAlignment="1" applyBorder="1" applyFill="1" applyFont="1">
      <alignment horizontal="center" readingOrder="0" vertical="bottom"/>
    </xf>
    <xf borderId="4" fillId="4" fontId="4" numFmtId="0" xfId="0" applyAlignment="1" applyBorder="1" applyFill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1" fillId="4" fontId="4" numFmtId="165" xfId="0" applyAlignment="1" applyBorder="1" applyFill="1" applyFont="1" applyNumberFormat="1">
      <alignment horizontal="right" readingOrder="0" vertical="bottom"/>
    </xf>
    <xf borderId="3" fillId="4" fontId="2" numFmtId="0" xfId="0" applyAlignment="1" applyBorder="1" applyFill="1" applyFont="1">
      <alignment vertical="bottom"/>
    </xf>
    <xf borderId="1" fillId="4" fontId="4" numFmtId="170" xfId="0" applyAlignment="1" applyBorder="1" applyFill="1" applyFont="1" applyNumberFormat="1">
      <alignment horizontal="right" vertical="bottom"/>
    </xf>
    <xf borderId="0" fillId="4" fontId="4" numFmtId="0" xfId="0" applyAlignment="1" applyFill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8" fillId="4" fontId="4" numFmtId="0" xfId="0" applyAlignment="1" applyBorder="1" applyFill="1" applyFont="1">
      <alignment vertical="bottom"/>
    </xf>
    <xf borderId="1" fillId="0" fontId="4" numFmtId="0" xfId="0" applyAlignment="1" applyBorder="1" applyFont="1">
      <alignment horizontal="center" readingOrder="0" vertical="bottom"/>
    </xf>
    <xf borderId="9" fillId="0" fontId="4" numFmtId="0" xfId="0" applyAlignment="1" applyBorder="1" applyFont="1">
      <alignment vertical="bottom"/>
    </xf>
    <xf borderId="0" fillId="0" fontId="2" numFmtId="0" xfId="0" applyAlignment="1" applyFont="1">
      <alignment horizontal="center" readingOrder="0" vertical="bottom"/>
    </xf>
    <xf borderId="1" fillId="4" fontId="2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horizontal="center" readingOrder="0"/>
    </xf>
    <xf borderId="1" fillId="4" fontId="4" numFmtId="49" xfId="0" applyAlignment="1" applyBorder="1" applyFill="1" applyFont="1" applyNumberFormat="1">
      <alignment horizontal="center" vertical="bottom"/>
    </xf>
    <xf borderId="0" fillId="4" fontId="2" numFmtId="0" xfId="0" applyAlignment="1" applyFill="1" applyFont="1">
      <alignment horizontal="right" readingOrder="0" vertical="bottom"/>
    </xf>
    <xf borderId="0" fillId="4" fontId="2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49" xfId="0" applyAlignment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4" fontId="4" numFmtId="0" xfId="0" applyAlignment="1" applyFill="1" applyFont="1">
      <alignment horizontal="center" vertical="bottom"/>
    </xf>
    <xf borderId="0" fillId="0" fontId="8" numFmtId="0" xfId="0" applyAlignment="1" applyFont="1">
      <alignment horizontal="center" readingOrder="0"/>
    </xf>
    <xf borderId="1" fillId="16" fontId="4" numFmtId="0" xfId="0" applyAlignment="1" applyBorder="1" applyFill="1" applyFont="1">
      <alignment horizontal="right" vertical="bottom"/>
    </xf>
    <xf borderId="1" fillId="16" fontId="4" numFmtId="0" xfId="0" applyAlignment="1" applyBorder="1" applyFill="1" applyFont="1">
      <alignment horizontal="center" vertical="bottom"/>
    </xf>
    <xf borderId="1" fillId="16" fontId="2" numFmtId="0" xfId="0" applyAlignment="1" applyBorder="1" applyFill="1" applyFont="1">
      <alignment vertical="bottom"/>
    </xf>
    <xf borderId="1" fillId="16" fontId="4" numFmtId="0" xfId="0" applyAlignment="1" applyBorder="1" applyFill="1" applyFont="1">
      <alignment vertical="bottom"/>
    </xf>
    <xf borderId="1" fillId="17" fontId="8" numFmtId="0" xfId="0" applyAlignment="1" applyBorder="1" applyFill="1" applyFont="1">
      <alignment readingOrder="0"/>
    </xf>
    <xf borderId="1" fillId="16" fontId="4" numFmtId="49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3" fillId="17" fontId="4" numFmtId="0" xfId="0" applyAlignment="1" applyBorder="1" applyFill="1" applyFont="1">
      <alignment horizontal="center" vertical="bottom"/>
    </xf>
    <xf borderId="4" fillId="17" fontId="4" numFmtId="0" xfId="0" applyAlignment="1" applyBorder="1" applyFill="1" applyFont="1">
      <alignment horizontal="center" vertical="bottom"/>
    </xf>
    <xf borderId="4" fillId="17" fontId="2" numFmtId="0" xfId="0" applyAlignment="1" applyBorder="1" applyFill="1" applyFont="1">
      <alignment vertical="bottom"/>
    </xf>
    <xf borderId="1" fillId="17" fontId="4" numFmtId="0" xfId="0" applyAlignment="1" applyBorder="1" applyFill="1" applyFont="1">
      <alignment vertical="bottom"/>
    </xf>
    <xf borderId="4" fillId="17" fontId="4" numFmtId="0" xfId="0" applyAlignment="1" applyBorder="1" applyFill="1" applyFont="1">
      <alignment horizontal="center" vertical="bottom"/>
    </xf>
    <xf borderId="4" fillId="17" fontId="4" numFmtId="49" xfId="0" applyAlignment="1" applyBorder="1" applyFill="1" applyFont="1" applyNumberFormat="1">
      <alignment horizontal="center" vertical="bottom"/>
    </xf>
    <xf borderId="0" fillId="0" fontId="8" numFmtId="0" xfId="0" applyAlignment="1" applyFont="1">
      <alignment readingOrder="0"/>
    </xf>
    <xf borderId="3" fillId="16" fontId="4" numFmtId="0" xfId="0" applyAlignment="1" applyBorder="1" applyFill="1" applyFont="1">
      <alignment horizontal="center" readingOrder="0" vertical="bottom"/>
    </xf>
    <xf borderId="4" fillId="16" fontId="4" numFmtId="0" xfId="0" applyAlignment="1" applyBorder="1" applyFill="1" applyFont="1">
      <alignment horizontal="center" vertical="bottom"/>
    </xf>
    <xf borderId="4" fillId="16" fontId="2" numFmtId="0" xfId="0" applyAlignment="1" applyBorder="1" applyFill="1" applyFont="1">
      <alignment vertical="bottom"/>
    </xf>
    <xf borderId="4" fillId="16" fontId="4" numFmtId="0" xfId="0" applyAlignment="1" applyBorder="1" applyFill="1" applyFont="1">
      <alignment vertical="bottom"/>
    </xf>
    <xf borderId="4" fillId="16" fontId="4" numFmtId="49" xfId="0" applyAlignment="1" applyBorder="1" applyFill="1" applyFont="1" applyNumberFormat="1">
      <alignment horizontal="center" readingOrder="0" vertical="bottom"/>
    </xf>
    <xf borderId="4" fillId="16" fontId="4" numFmtId="49" xfId="0" applyAlignment="1" applyBorder="1" applyFill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2" fillId="2" fontId="3" numFmtId="0" xfId="0" applyAlignment="1" applyBorder="1" applyFill="1" applyFont="1">
      <alignment horizontal="center" vertical="bottom"/>
    </xf>
    <xf borderId="0" fillId="6" fontId="2" numFmtId="0" xfId="0" applyAlignment="1" applyFill="1" applyFont="1">
      <alignment vertical="bottom"/>
    </xf>
    <xf borderId="0" fillId="14" fontId="2" numFmtId="0" xfId="0" applyAlignment="1" applyFill="1" applyFont="1">
      <alignment shrinkToFit="0" vertical="bottom" wrapText="1"/>
    </xf>
    <xf borderId="0" fillId="14" fontId="6" numFmtId="0" xfId="0" applyAlignment="1" applyFill="1" applyFont="1">
      <alignment shrinkToFit="0" vertical="bottom" wrapText="1"/>
    </xf>
    <xf borderId="0" fillId="2" fontId="2" numFmtId="0" xfId="0" applyAlignment="1" applyFill="1" applyFont="1">
      <alignment readingOrder="0" shrinkToFit="0" vertical="bottom" wrapText="1"/>
    </xf>
    <xf borderId="0" fillId="14" fontId="6" numFmtId="0" xfId="0" applyAlignment="1" applyFill="1" applyFont="1">
      <alignment vertical="bottom"/>
    </xf>
    <xf borderId="0" fillId="4" fontId="2" numFmtId="0" xfId="0" applyAlignment="1" applyFill="1" applyFont="1">
      <alignment horizontal="right" vertical="bottom"/>
    </xf>
    <xf borderId="0" fillId="4" fontId="2" numFmtId="0" xfId="0" applyAlignment="1" applyFill="1" applyFont="1">
      <alignment shrinkToFit="0" vertical="bottom" wrapText="1"/>
    </xf>
    <xf borderId="0" fillId="2" fontId="2" numFmtId="10" xfId="0" applyAlignment="1" applyFill="1" applyFont="1" applyNumberFormat="1">
      <alignment horizontal="right" vertical="bottom"/>
    </xf>
    <xf borderId="0" fillId="4" fontId="2" numFmtId="10" xfId="0" applyAlignment="1" applyFill="1" applyFont="1" applyNumberFormat="1">
      <alignment vertical="bottom"/>
    </xf>
    <xf borderId="0" fillId="4" fontId="13" numFmtId="0" xfId="0" applyAlignment="1" applyFill="1" applyFont="1">
      <alignment readingOrder="0" shrinkToFit="0" vertical="bottom" wrapText="1"/>
    </xf>
    <xf borderId="0" fillId="6" fontId="2" numFmtId="10" xfId="0" applyAlignment="1" applyFill="1" applyFont="1" applyNumberFormat="1">
      <alignment horizontal="right" vertical="bottom"/>
    </xf>
    <xf borderId="0" fillId="14" fontId="2" numFmtId="0" xfId="0" applyAlignment="1" applyFill="1" applyFont="1">
      <alignment vertical="bottom"/>
    </xf>
    <xf borderId="6" fillId="0" fontId="4" numFmtId="0" xfId="0" applyAlignment="1" applyBorder="1" applyFont="1">
      <alignment vertical="bottom"/>
    </xf>
    <xf borderId="5" fillId="4" fontId="4" numFmtId="0" xfId="0" applyAlignment="1" applyBorder="1" applyFill="1" applyFont="1">
      <alignment vertical="bottom"/>
    </xf>
    <xf borderId="0" fillId="0" fontId="8" numFmtId="0" xfId="0" applyFont="1"/>
    <xf borderId="5" fillId="2" fontId="2" numFmtId="0" xfId="0" applyAlignment="1" applyBorder="1" applyFill="1" applyFont="1">
      <alignment vertical="bottom"/>
    </xf>
    <xf borderId="2" fillId="0" fontId="14" numFmtId="0" xfId="0" applyBorder="1" applyFont="1"/>
    <xf borderId="0" fillId="18" fontId="2" numFmtId="0" xfId="0" applyAlignment="1" applyFill="1" applyFont="1">
      <alignment vertical="bottom"/>
    </xf>
    <xf borderId="0" fillId="0" fontId="15" numFmtId="0" xfId="0" applyAlignment="1" applyFont="1">
      <alignment horizontal="center" readingOrder="0" vertical="bottom"/>
    </xf>
    <xf borderId="1" fillId="6" fontId="2" numFmtId="0" xfId="0" applyAlignment="1" applyBorder="1" applyFill="1" applyFont="1">
      <alignment shrinkToFit="0" vertical="bottom" wrapText="1"/>
    </xf>
    <xf borderId="5" fillId="6" fontId="2" numFmtId="0" xfId="0" applyAlignment="1" applyBorder="1" applyFill="1" applyFont="1">
      <alignment vertical="bottom"/>
    </xf>
    <xf borderId="5" fillId="6" fontId="6" numFmtId="0" xfId="0" applyAlignment="1" applyBorder="1" applyFill="1" applyFont="1">
      <alignment horizontal="center" shrinkToFit="0" vertical="bottom" wrapText="1"/>
    </xf>
    <xf borderId="6" fillId="0" fontId="14" numFmtId="0" xfId="0" applyBorder="1" applyFont="1"/>
    <xf borderId="1" fillId="19" fontId="2" numFmtId="0" xfId="0" applyAlignment="1" applyBorder="1" applyFill="1" applyFont="1">
      <alignment shrinkToFit="0" vertical="bottom" wrapText="1"/>
    </xf>
    <xf borderId="5" fillId="19" fontId="2" numFmtId="0" xfId="0" applyAlignment="1" applyBorder="1" applyFill="1" applyFont="1">
      <alignment vertical="bottom"/>
    </xf>
    <xf borderId="5" fillId="19" fontId="6" numFmtId="0" xfId="0" applyAlignment="1" applyBorder="1" applyFill="1" applyFont="1">
      <alignment horizontal="center" shrinkToFit="0" vertical="bottom" wrapText="1"/>
    </xf>
    <xf borderId="1" fillId="20" fontId="2" numFmtId="0" xfId="0" applyAlignment="1" applyBorder="1" applyFill="1" applyFont="1">
      <alignment shrinkToFit="0" vertical="bottom" wrapText="1"/>
    </xf>
    <xf borderId="5" fillId="20" fontId="2" numFmtId="0" xfId="0" applyAlignment="1" applyBorder="1" applyFill="1" applyFont="1">
      <alignment vertical="bottom"/>
    </xf>
    <xf borderId="5" fillId="20" fontId="6" numFmtId="0" xfId="0" applyAlignment="1" applyBorder="1" applyFill="1" applyFont="1">
      <alignment horizontal="center" shrinkToFit="0" vertical="bottom" wrapText="1"/>
    </xf>
    <xf borderId="1" fillId="14" fontId="2" numFmtId="0" xfId="0" applyAlignment="1" applyBorder="1" applyFill="1" applyFont="1">
      <alignment shrinkToFit="0" vertical="bottom" wrapText="1"/>
    </xf>
    <xf borderId="5" fillId="14" fontId="2" numFmtId="0" xfId="0" applyAlignment="1" applyBorder="1" applyFill="1" applyFont="1">
      <alignment vertical="bottom"/>
    </xf>
    <xf borderId="5" fillId="14" fontId="6" numFmtId="0" xfId="0" applyAlignment="1" applyBorder="1" applyFill="1" applyFont="1">
      <alignment horizontal="center" shrinkToFit="0" vertical="bottom" wrapText="1"/>
    </xf>
    <xf borderId="5" fillId="4" fontId="6" numFmtId="0" xfId="0" applyAlignment="1" applyBorder="1" applyFill="1" applyFont="1">
      <alignment vertical="bottom"/>
    </xf>
    <xf borderId="1" fillId="21" fontId="6" numFmtId="0" xfId="0" applyAlignment="1" applyBorder="1" applyFill="1" applyFont="1">
      <alignment horizontal="center" vertical="bottom"/>
    </xf>
    <xf borderId="1" fillId="21" fontId="6" numFmtId="0" xfId="0" applyAlignment="1" applyBorder="1" applyFill="1" applyFont="1">
      <alignment vertical="bottom"/>
    </xf>
    <xf borderId="10" fillId="6" fontId="6" numFmtId="0" xfId="0" applyAlignment="1" applyBorder="1" applyFill="1" applyFont="1">
      <alignment horizontal="center" shrinkToFit="0" vertical="bottom" wrapText="1"/>
    </xf>
    <xf borderId="11" fillId="6" fontId="6" numFmtId="0" xfId="0" applyAlignment="1" applyBorder="1" applyFill="1" applyFont="1">
      <alignment horizontal="center" shrinkToFit="0" vertical="bottom" wrapText="1"/>
    </xf>
    <xf borderId="12" fillId="6" fontId="6" numFmtId="0" xfId="0" applyAlignment="1" applyBorder="1" applyFill="1" applyFont="1">
      <alignment horizontal="center" shrinkToFit="0" vertical="bottom" wrapText="1"/>
    </xf>
    <xf borderId="12" fillId="19" fontId="6" numFmtId="0" xfId="0" applyAlignment="1" applyBorder="1" applyFill="1" applyFont="1">
      <alignment horizontal="center" shrinkToFit="0" vertical="bottom" wrapText="1"/>
    </xf>
    <xf borderId="11" fillId="19" fontId="6" numFmtId="0" xfId="0" applyAlignment="1" applyBorder="1" applyFill="1" applyFont="1">
      <alignment horizontal="center" shrinkToFit="0" vertical="bottom" wrapText="1"/>
    </xf>
    <xf borderId="12" fillId="20" fontId="6" numFmtId="0" xfId="0" applyAlignment="1" applyBorder="1" applyFill="1" applyFont="1">
      <alignment horizontal="center" shrinkToFit="0" vertical="bottom" wrapText="1"/>
    </xf>
    <xf borderId="11" fillId="20" fontId="6" numFmtId="0" xfId="0" applyAlignment="1" applyBorder="1" applyFill="1" applyFont="1">
      <alignment horizontal="center" shrinkToFit="0" vertical="bottom" wrapText="1"/>
    </xf>
    <xf borderId="12" fillId="14" fontId="6" numFmtId="0" xfId="0" applyAlignment="1" applyBorder="1" applyFill="1" applyFont="1">
      <alignment horizontal="center" shrinkToFit="0" vertical="bottom" wrapText="1"/>
    </xf>
    <xf borderId="11" fillId="14" fontId="6" numFmtId="0" xfId="0" applyAlignment="1" applyBorder="1" applyFill="1" applyFont="1">
      <alignment horizontal="center" shrinkToFit="0" vertical="bottom" wrapText="1"/>
    </xf>
    <xf borderId="11" fillId="22" fontId="6" numFmtId="0" xfId="0" applyAlignment="1" applyBorder="1" applyFill="1" applyFont="1">
      <alignment horizontal="center" shrinkToFit="0" vertical="bottom" wrapText="1"/>
    </xf>
    <xf borderId="11" fillId="7" fontId="6" numFmtId="0" xfId="0" applyAlignment="1" applyBorder="1" applyFill="1" applyFont="1">
      <alignment horizontal="center" shrinkToFit="0" vertical="bottom" wrapText="1"/>
    </xf>
    <xf borderId="1" fillId="7" fontId="6" numFmtId="0" xfId="0" applyAlignment="1" applyBorder="1" applyFill="1" applyFont="1">
      <alignment horizontal="center" shrinkToFit="0" vertical="bottom" wrapText="1"/>
    </xf>
    <xf borderId="3" fillId="4" fontId="4" numFmtId="0" xfId="0" applyAlignment="1" applyBorder="1" applyFill="1" applyFont="1">
      <alignment horizontal="center" readingOrder="0" vertical="bottom"/>
    </xf>
    <xf borderId="4" fillId="6" fontId="4" numFmtId="0" xfId="0" applyAlignment="1" applyBorder="1" applyFill="1" applyFon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ill="1" applyFont="1">
      <alignment readingOrder="0" vertical="bottom"/>
    </xf>
    <xf borderId="0" fillId="21" fontId="2" numFmtId="0" xfId="0" applyAlignment="1" applyFill="1" applyFont="1">
      <alignment readingOrder="0" shrinkToFit="0" vertical="bottom" wrapText="1"/>
    </xf>
    <xf borderId="0" fillId="21" fontId="2" numFmtId="0" xfId="0" applyAlignment="1" applyFill="1" applyFont="1">
      <alignment readingOrder="0" vertical="bottom"/>
    </xf>
    <xf borderId="0" fillId="21" fontId="2" numFmtId="0" xfId="0" applyAlignment="1" applyFill="1" applyFont="1">
      <alignment vertical="bottom"/>
    </xf>
    <xf borderId="0" fillId="22" fontId="2" numFmtId="0" xfId="0" applyAlignment="1" applyFill="1" applyFont="1">
      <alignment readingOrder="0" vertical="bottom"/>
    </xf>
    <xf borderId="0" fillId="21" fontId="16" numFmtId="0" xfId="0" applyAlignment="1" applyFill="1" applyFont="1">
      <alignment horizontal="right" readingOrder="0" vertical="bottom"/>
    </xf>
    <xf borderId="0" fillId="4" fontId="2" numFmtId="0" xfId="0" applyFill="1" applyFont="1"/>
    <xf borderId="4" fillId="0" fontId="2" numFmtId="0" xfId="0" applyAlignment="1" applyBorder="1" applyFont="1">
      <alignment vertical="bottom"/>
    </xf>
    <xf borderId="0" fillId="21" fontId="2" numFmtId="0" xfId="0" applyAlignment="1" applyFill="1" applyFont="1">
      <alignment shrinkToFit="0" vertical="bottom" wrapText="1"/>
    </xf>
    <xf borderId="0" fillId="21" fontId="2" numFmtId="0" xfId="0" applyAlignment="1" applyFill="1" applyFont="1">
      <alignment horizontal="right" vertical="bottom"/>
    </xf>
    <xf borderId="0" fillId="21" fontId="2" numFmtId="0" xfId="0" applyAlignment="1" applyFill="1" applyFont="1">
      <alignment horizontal="right" readingOrder="0" vertical="bottom"/>
    </xf>
    <xf borderId="0" fillId="22" fontId="2" numFmtId="0" xfId="0" applyAlignment="1" applyFill="1" applyFont="1">
      <alignment horizontal="right" readingOrder="0" vertical="bottom"/>
    </xf>
    <xf borderId="0" fillId="22" fontId="2" numFmtId="0" xfId="0" applyAlignment="1" applyFill="1" applyFont="1">
      <alignment horizontal="right" vertical="bottom"/>
    </xf>
    <xf borderId="11" fillId="20" fontId="6" numFmtId="0" xfId="0" applyAlignment="1" applyBorder="1" applyFill="1" applyFont="1">
      <alignment horizontal="center" readingOrder="0" shrinkToFit="0" vertical="bottom" wrapText="1"/>
    </xf>
    <xf borderId="0" fillId="2" fontId="2" numFmtId="0" xfId="0" applyAlignment="1" applyFill="1" applyFont="1">
      <alignment readingOrder="0" vertical="bottom"/>
    </xf>
    <xf borderId="0" fillId="0" fontId="2" numFmtId="1" xfId="0" applyAlignment="1" applyFont="1" applyNumberFormat="1">
      <alignment horizontal="right" vertical="bottom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nyathikazis@maharishinstitute.or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3.75"/>
    <col customWidth="1" min="3" max="3" width="26.5"/>
    <col customWidth="1" min="4" max="4" width="25.13"/>
  </cols>
  <sheetData>
    <row r="1" ht="30.7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9">
        <v>1.0</v>
      </c>
      <c r="B2" s="9" t="s">
        <v>20</v>
      </c>
      <c r="C2" s="9" t="s">
        <v>21</v>
      </c>
      <c r="D2" s="9" t="s">
        <v>22</v>
      </c>
      <c r="E2" s="9" t="s">
        <v>23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14">
        <v>2.0</v>
      </c>
      <c r="B3" s="14" t="s">
        <v>29</v>
      </c>
      <c r="C3" s="14" t="s">
        <v>30</v>
      </c>
      <c r="D3" s="14" t="s">
        <v>31</v>
      </c>
      <c r="E3" s="9" t="s">
        <v>23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9">
        <v>3.0</v>
      </c>
      <c r="B4" s="14" t="s">
        <v>34</v>
      </c>
      <c r="C4" s="14" t="s">
        <v>35</v>
      </c>
      <c r="D4" s="14" t="s">
        <v>36</v>
      </c>
      <c r="E4" s="9" t="s">
        <v>23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14">
        <v>4.0</v>
      </c>
      <c r="B5" s="14" t="s">
        <v>41</v>
      </c>
      <c r="C5" s="14" t="s">
        <v>42</v>
      </c>
      <c r="D5" s="14" t="s">
        <v>43</v>
      </c>
      <c r="E5" s="9" t="s">
        <v>23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9">
        <v>5.0</v>
      </c>
      <c r="B6" s="14" t="s">
        <v>48</v>
      </c>
      <c r="C6" s="14" t="s">
        <v>51</v>
      </c>
      <c r="D6" s="14" t="s">
        <v>52</v>
      </c>
      <c r="E6" s="9" t="s">
        <v>23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14">
        <v>6.0</v>
      </c>
      <c r="B7" s="14" t="s">
        <v>58</v>
      </c>
      <c r="C7" s="14" t="s">
        <v>59</v>
      </c>
      <c r="D7" s="14" t="s">
        <v>61</v>
      </c>
      <c r="E7" s="9" t="s">
        <v>23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9">
        <v>7.0</v>
      </c>
      <c r="B8" s="14" t="s">
        <v>63</v>
      </c>
      <c r="C8" s="14" t="s">
        <v>64</v>
      </c>
      <c r="D8" s="14" t="s">
        <v>65</v>
      </c>
      <c r="E8" s="9" t="s">
        <v>23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14">
        <v>8.0</v>
      </c>
      <c r="B9" s="14" t="s">
        <v>66</v>
      </c>
      <c r="C9" s="14" t="s">
        <v>67</v>
      </c>
      <c r="D9" s="14" t="s">
        <v>69</v>
      </c>
      <c r="E9" s="9" t="s">
        <v>23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9">
        <v>9.0</v>
      </c>
      <c r="B10" s="14" t="s">
        <v>71</v>
      </c>
      <c r="C10" s="14" t="s">
        <v>72</v>
      </c>
      <c r="D10" s="14" t="s">
        <v>73</v>
      </c>
      <c r="E10" s="9" t="s">
        <v>23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idden="1">
      <c r="A11" s="14">
        <v>10.0</v>
      </c>
      <c r="B11" s="14" t="s">
        <v>79</v>
      </c>
      <c r="C11" s="14" t="s">
        <v>80</v>
      </c>
      <c r="D11" s="14" t="s">
        <v>81</v>
      </c>
      <c r="E11" s="9" t="s">
        <v>23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9">
        <v>11.0</v>
      </c>
      <c r="B12" s="14" t="s">
        <v>85</v>
      </c>
      <c r="C12" s="14" t="s">
        <v>86</v>
      </c>
      <c r="D12" s="14" t="s">
        <v>87</v>
      </c>
      <c r="E12" s="9" t="s">
        <v>23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14">
        <v>12.0</v>
      </c>
      <c r="B13" s="14" t="s">
        <v>88</v>
      </c>
      <c r="C13" s="14" t="s">
        <v>89</v>
      </c>
      <c r="D13" s="14" t="s">
        <v>91</v>
      </c>
      <c r="E13" s="9" t="s">
        <v>23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9">
        <v>13.0</v>
      </c>
      <c r="B14" s="14" t="s">
        <v>94</v>
      </c>
      <c r="C14" s="14" t="s">
        <v>96</v>
      </c>
      <c r="D14" s="14" t="s">
        <v>98</v>
      </c>
      <c r="E14" s="9" t="s">
        <v>23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14">
        <v>14.0</v>
      </c>
      <c r="B15" s="14" t="s">
        <v>102</v>
      </c>
      <c r="C15" s="14" t="s">
        <v>103</v>
      </c>
      <c r="D15" s="14" t="s">
        <v>104</v>
      </c>
      <c r="E15" s="9" t="s">
        <v>23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9">
        <v>15.0</v>
      </c>
      <c r="B16" s="14" t="s">
        <v>107</v>
      </c>
      <c r="C16" s="14" t="s">
        <v>108</v>
      </c>
      <c r="D16" s="14" t="s">
        <v>109</v>
      </c>
      <c r="E16" s="9" t="s">
        <v>23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14">
        <v>16.0</v>
      </c>
      <c r="B17" s="14" t="s">
        <v>112</v>
      </c>
      <c r="C17" s="14" t="s">
        <v>113</v>
      </c>
      <c r="D17" s="14" t="s">
        <v>114</v>
      </c>
      <c r="E17" s="9" t="s">
        <v>23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9">
        <v>17.0</v>
      </c>
      <c r="B18" s="14" t="s">
        <v>112</v>
      </c>
      <c r="C18" s="14" t="s">
        <v>117</v>
      </c>
      <c r="D18" s="14" t="s">
        <v>118</v>
      </c>
      <c r="E18" s="9" t="s">
        <v>23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14">
        <v>18.0</v>
      </c>
      <c r="B19" s="14" t="s">
        <v>119</v>
      </c>
      <c r="C19" s="14" t="s">
        <v>121</v>
      </c>
      <c r="D19" s="14" t="s">
        <v>122</v>
      </c>
      <c r="E19" s="9" t="s">
        <v>23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9">
        <v>19.0</v>
      </c>
      <c r="B20" s="14" t="s">
        <v>126</v>
      </c>
      <c r="C20" s="14" t="s">
        <v>127</v>
      </c>
      <c r="D20" s="14" t="s">
        <v>129</v>
      </c>
      <c r="E20" s="9" t="s">
        <v>23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14">
        <v>20.0</v>
      </c>
      <c r="B21" s="14" t="s">
        <v>135</v>
      </c>
      <c r="C21" s="14" t="s">
        <v>136</v>
      </c>
      <c r="D21" s="14" t="s">
        <v>137</v>
      </c>
      <c r="E21" s="9" t="s">
        <v>23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9">
        <v>21.0</v>
      </c>
      <c r="B22" s="14" t="s">
        <v>138</v>
      </c>
      <c r="C22" s="14" t="s">
        <v>139</v>
      </c>
      <c r="D22" s="14" t="s">
        <v>140</v>
      </c>
      <c r="E22" s="9" t="s">
        <v>23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14">
        <v>22.0</v>
      </c>
      <c r="B23" s="14" t="s">
        <v>146</v>
      </c>
      <c r="C23" s="14" t="s">
        <v>149</v>
      </c>
      <c r="D23" s="14" t="s">
        <v>150</v>
      </c>
      <c r="E23" s="9" t="s">
        <v>23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9">
        <v>23.0</v>
      </c>
      <c r="B24" s="14" t="s">
        <v>153</v>
      </c>
      <c r="C24" s="14" t="s">
        <v>154</v>
      </c>
      <c r="D24" s="14" t="s">
        <v>155</v>
      </c>
      <c r="E24" s="9" t="s">
        <v>23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14">
        <v>24.0</v>
      </c>
      <c r="B25" s="14" t="s">
        <v>162</v>
      </c>
      <c r="C25" s="14" t="s">
        <v>163</v>
      </c>
      <c r="D25" s="14" t="s">
        <v>164</v>
      </c>
      <c r="E25" s="9" t="s">
        <v>23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9">
        <v>25.0</v>
      </c>
      <c r="B26" s="14" t="s">
        <v>165</v>
      </c>
      <c r="C26" s="14" t="s">
        <v>166</v>
      </c>
      <c r="D26" s="14" t="s">
        <v>167</v>
      </c>
      <c r="E26" s="9" t="s">
        <v>23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14">
        <v>26.0</v>
      </c>
      <c r="B27" s="14" t="s">
        <v>175</v>
      </c>
      <c r="C27" s="14" t="s">
        <v>80</v>
      </c>
      <c r="D27" s="14" t="s">
        <v>176</v>
      </c>
      <c r="E27" s="9" t="s">
        <v>23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9">
        <v>27.0</v>
      </c>
      <c r="B28" s="14" t="s">
        <v>180</v>
      </c>
      <c r="C28" s="14" t="s">
        <v>181</v>
      </c>
      <c r="D28" s="14" t="s">
        <v>182</v>
      </c>
      <c r="E28" s="9" t="s">
        <v>23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14">
        <v>28.0</v>
      </c>
      <c r="B29" s="14" t="s">
        <v>184</v>
      </c>
      <c r="C29" s="14" t="s">
        <v>185</v>
      </c>
      <c r="D29" s="14" t="s">
        <v>186</v>
      </c>
      <c r="E29" s="9" t="s">
        <v>23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9">
        <v>29.0</v>
      </c>
      <c r="B30" s="14" t="s">
        <v>193</v>
      </c>
      <c r="C30" s="14" t="s">
        <v>194</v>
      </c>
      <c r="D30" s="14" t="s">
        <v>196</v>
      </c>
      <c r="E30" s="9" t="s">
        <v>23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14">
        <v>30.0</v>
      </c>
      <c r="B31" s="14" t="s">
        <v>199</v>
      </c>
      <c r="C31" s="14" t="s">
        <v>200</v>
      </c>
      <c r="D31" s="14" t="s">
        <v>201</v>
      </c>
      <c r="E31" s="9" t="s">
        <v>23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9">
        <v>31.0</v>
      </c>
      <c r="B32" s="14" t="s">
        <v>206</v>
      </c>
      <c r="C32" s="14" t="s">
        <v>207</v>
      </c>
      <c r="D32" s="14" t="s">
        <v>208</v>
      </c>
      <c r="E32" s="9" t="s">
        <v>23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14">
        <v>32.0</v>
      </c>
      <c r="B33" s="14" t="s">
        <v>210</v>
      </c>
      <c r="C33" s="14" t="s">
        <v>211</v>
      </c>
      <c r="D33" s="14" t="s">
        <v>213</v>
      </c>
      <c r="E33" s="9" t="s">
        <v>23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9">
        <v>33.0</v>
      </c>
      <c r="B34" s="14" t="s">
        <v>219</v>
      </c>
      <c r="C34" s="14" t="s">
        <v>220</v>
      </c>
      <c r="D34" s="14" t="s">
        <v>221</v>
      </c>
      <c r="E34" s="9" t="s">
        <v>23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14">
        <v>34.0</v>
      </c>
      <c r="B35" s="14" t="s">
        <v>219</v>
      </c>
      <c r="C35" s="14" t="s">
        <v>225</v>
      </c>
      <c r="D35" s="14" t="s">
        <v>227</v>
      </c>
      <c r="E35" s="9" t="s">
        <v>23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9">
        <v>35.0</v>
      </c>
      <c r="B36" s="14" t="s">
        <v>233</v>
      </c>
      <c r="C36" s="14" t="s">
        <v>234</v>
      </c>
      <c r="D36" s="14" t="s">
        <v>235</v>
      </c>
      <c r="E36" s="9" t="s">
        <v>23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14">
        <v>36.0</v>
      </c>
      <c r="B37" s="14" t="s">
        <v>243</v>
      </c>
      <c r="C37" s="14" t="s">
        <v>244</v>
      </c>
      <c r="D37" s="14" t="s">
        <v>245</v>
      </c>
      <c r="E37" s="9" t="s">
        <v>23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9">
        <v>37.0</v>
      </c>
      <c r="B38" s="14" t="s">
        <v>253</v>
      </c>
      <c r="C38" s="14" t="s">
        <v>255</v>
      </c>
      <c r="D38" s="14" t="s">
        <v>257</v>
      </c>
      <c r="E38" s="9" t="s">
        <v>23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14">
        <v>38.0</v>
      </c>
      <c r="B39" s="14" t="s">
        <v>261</v>
      </c>
      <c r="C39" s="14" t="s">
        <v>262</v>
      </c>
      <c r="D39" s="14" t="s">
        <v>264</v>
      </c>
      <c r="E39" s="9" t="s">
        <v>23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9">
        <v>39.0</v>
      </c>
      <c r="B40" s="14" t="s">
        <v>270</v>
      </c>
      <c r="C40" s="14" t="s">
        <v>271</v>
      </c>
      <c r="D40" s="14" t="s">
        <v>272</v>
      </c>
      <c r="E40" s="9" t="s">
        <v>23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14">
        <v>40.0</v>
      </c>
      <c r="B41" s="14" t="s">
        <v>275</v>
      </c>
      <c r="C41" s="14" t="s">
        <v>277</v>
      </c>
      <c r="D41" s="14" t="s">
        <v>279</v>
      </c>
      <c r="E41" s="9" t="s">
        <v>23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9">
        <v>41.0</v>
      </c>
      <c r="B42" s="14" t="s">
        <v>281</v>
      </c>
      <c r="C42" s="14" t="s">
        <v>282</v>
      </c>
      <c r="D42" s="14" t="s">
        <v>283</v>
      </c>
      <c r="E42" s="9" t="s">
        <v>23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14">
        <v>42.0</v>
      </c>
      <c r="B43" s="14" t="s">
        <v>289</v>
      </c>
      <c r="C43" s="14" t="s">
        <v>246</v>
      </c>
      <c r="D43" s="14" t="s">
        <v>290</v>
      </c>
      <c r="E43" s="9" t="s">
        <v>23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9">
        <v>43.0</v>
      </c>
      <c r="B44" s="14" t="s">
        <v>294</v>
      </c>
      <c r="C44" s="14" t="s">
        <v>295</v>
      </c>
      <c r="D44" s="14" t="s">
        <v>297</v>
      </c>
      <c r="E44" s="9" t="s">
        <v>23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14">
        <v>44.0</v>
      </c>
      <c r="B45" s="14" t="s">
        <v>304</v>
      </c>
      <c r="C45" s="14" t="s">
        <v>305</v>
      </c>
      <c r="D45" s="14" t="s">
        <v>306</v>
      </c>
      <c r="E45" s="9" t="s">
        <v>23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9">
        <v>45.0</v>
      </c>
      <c r="B46" s="14" t="s">
        <v>313</v>
      </c>
      <c r="C46" s="14" t="s">
        <v>315</v>
      </c>
      <c r="D46" s="14" t="s">
        <v>317</v>
      </c>
      <c r="E46" s="9" t="s">
        <v>23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14">
        <v>46.0</v>
      </c>
      <c r="B47" s="14" t="s">
        <v>320</v>
      </c>
      <c r="C47" s="14" t="s">
        <v>321</v>
      </c>
      <c r="D47" s="14" t="s">
        <v>323</v>
      </c>
      <c r="E47" s="9" t="s">
        <v>23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9">
        <v>47.0</v>
      </c>
      <c r="B48" s="14" t="s">
        <v>328</v>
      </c>
      <c r="C48" s="14" t="s">
        <v>321</v>
      </c>
      <c r="D48" s="14" t="s">
        <v>329</v>
      </c>
      <c r="E48" s="9" t="s">
        <v>23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14">
        <v>48.0</v>
      </c>
      <c r="B49" s="14" t="s">
        <v>337</v>
      </c>
      <c r="C49" s="14" t="s">
        <v>338</v>
      </c>
      <c r="D49" s="14" t="s">
        <v>340</v>
      </c>
      <c r="E49" s="9" t="s">
        <v>23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9">
        <v>49.0</v>
      </c>
      <c r="B50" s="14" t="s">
        <v>343</v>
      </c>
      <c r="C50" s="14" t="s">
        <v>166</v>
      </c>
      <c r="D50" s="14" t="s">
        <v>346</v>
      </c>
      <c r="E50" s="9" t="s">
        <v>23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14">
        <v>50.0</v>
      </c>
      <c r="B51" s="14" t="s">
        <v>352</v>
      </c>
      <c r="C51" s="14" t="s">
        <v>353</v>
      </c>
      <c r="D51" s="14" t="s">
        <v>355</v>
      </c>
      <c r="E51" s="9" t="s">
        <v>23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9">
        <v>51.0</v>
      </c>
      <c r="B52" s="14" t="s">
        <v>363</v>
      </c>
      <c r="C52" s="14" t="s">
        <v>364</v>
      </c>
      <c r="D52" s="14" t="s">
        <v>365</v>
      </c>
      <c r="E52" s="9" t="s">
        <v>23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14">
        <v>52.0</v>
      </c>
      <c r="B53" s="14" t="s">
        <v>372</v>
      </c>
      <c r="C53" s="14" t="s">
        <v>373</v>
      </c>
      <c r="D53" s="14" t="s">
        <v>374</v>
      </c>
      <c r="E53" s="9" t="s">
        <v>23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9">
        <v>53.0</v>
      </c>
      <c r="B54" s="14" t="s">
        <v>378</v>
      </c>
      <c r="C54" s="14" t="s">
        <v>380</v>
      </c>
      <c r="D54" s="14" t="s">
        <v>381</v>
      </c>
      <c r="E54" s="9" t="s">
        <v>23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14">
        <v>54.0</v>
      </c>
      <c r="B55" s="14" t="s">
        <v>382</v>
      </c>
      <c r="C55" s="14" t="s">
        <v>384</v>
      </c>
      <c r="D55" s="14" t="s">
        <v>385</v>
      </c>
      <c r="E55" s="9" t="s">
        <v>23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9">
        <v>55.0</v>
      </c>
      <c r="B56" s="14" t="s">
        <v>386</v>
      </c>
      <c r="C56" s="14" t="s">
        <v>387</v>
      </c>
      <c r="D56" s="14" t="s">
        <v>388</v>
      </c>
      <c r="E56" s="9" t="s">
        <v>23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14">
        <v>56.0</v>
      </c>
      <c r="B57" s="14" t="s">
        <v>390</v>
      </c>
      <c r="C57" s="14" t="s">
        <v>391</v>
      </c>
      <c r="D57" s="14" t="s">
        <v>392</v>
      </c>
      <c r="E57" s="9" t="s">
        <v>23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25"/>
    <col customWidth="1" min="3" max="3" width="10.63"/>
    <col customWidth="1" min="4" max="4" width="18.25"/>
    <col customWidth="1" min="5" max="5" width="17.75"/>
    <col customWidth="1" min="6" max="6" width="24.75"/>
    <col customWidth="1" min="7" max="7" width="39.75"/>
    <col customWidth="1" min="8" max="8" width="41.88"/>
    <col customWidth="1" min="9" max="9" width="24.25"/>
    <col customWidth="1" min="12" max="12" width="18.63"/>
  </cols>
  <sheetData>
    <row r="1" ht="23.25" customHeight="1">
      <c r="A1" s="4" t="s">
        <v>4</v>
      </c>
      <c r="B1" s="7" t="s">
        <v>9</v>
      </c>
      <c r="C1" s="7" t="s">
        <v>15</v>
      </c>
      <c r="D1" s="4" t="s">
        <v>18</v>
      </c>
      <c r="E1" s="13" t="s">
        <v>7</v>
      </c>
      <c r="F1" s="16" t="s">
        <v>28</v>
      </c>
      <c r="G1" s="19" t="s">
        <v>33</v>
      </c>
      <c r="H1" s="4" t="s">
        <v>40</v>
      </c>
      <c r="I1" s="21" t="s">
        <v>45</v>
      </c>
      <c r="J1" s="4" t="s">
        <v>47</v>
      </c>
      <c r="K1" s="4" t="s">
        <v>50</v>
      </c>
      <c r="L1" s="4" t="s">
        <v>53</v>
      </c>
    </row>
    <row r="2">
      <c r="A2" s="24">
        <v>1.0</v>
      </c>
      <c r="B2" s="26" t="s">
        <v>62</v>
      </c>
      <c r="C2" s="28"/>
      <c r="D2" s="17" t="s">
        <v>20</v>
      </c>
      <c r="E2" s="17" t="s">
        <v>37</v>
      </c>
      <c r="F2" s="32" t="s">
        <v>70</v>
      </c>
      <c r="G2" s="17" t="s">
        <v>75</v>
      </c>
      <c r="H2" s="32" t="s">
        <v>76</v>
      </c>
      <c r="I2" s="34" t="s">
        <v>77</v>
      </c>
      <c r="J2" s="35" t="s">
        <v>82</v>
      </c>
      <c r="K2" s="35" t="s">
        <v>82</v>
      </c>
      <c r="L2" s="37" t="s">
        <v>84</v>
      </c>
      <c r="M2" s="2"/>
    </row>
    <row r="3">
      <c r="A3" s="39">
        <v>2.0</v>
      </c>
      <c r="B3" s="41" t="s">
        <v>90</v>
      </c>
      <c r="C3" s="41" t="s">
        <v>93</v>
      </c>
      <c r="D3" s="29" t="s">
        <v>29</v>
      </c>
      <c r="E3" s="29" t="s">
        <v>68</v>
      </c>
      <c r="F3" s="44" t="s">
        <v>97</v>
      </c>
      <c r="G3" s="46" t="s">
        <v>100</v>
      </c>
      <c r="H3" s="48" t="s">
        <v>105</v>
      </c>
      <c r="I3" s="50" t="s">
        <v>110</v>
      </c>
      <c r="J3" s="52" t="s">
        <v>111</v>
      </c>
      <c r="K3" s="52" t="s">
        <v>115</v>
      </c>
      <c r="L3" s="53" t="s">
        <v>116</v>
      </c>
      <c r="M3" s="2"/>
    </row>
    <row r="4">
      <c r="A4" s="39">
        <v>3.0</v>
      </c>
      <c r="B4" s="41" t="s">
        <v>90</v>
      </c>
      <c r="C4" s="55" t="s">
        <v>99</v>
      </c>
      <c r="D4" s="43" t="s">
        <v>95</v>
      </c>
      <c r="E4" s="43" t="s">
        <v>35</v>
      </c>
      <c r="F4" s="57"/>
      <c r="G4" s="46" t="s">
        <v>124</v>
      </c>
      <c r="H4" s="46" t="s">
        <v>125</v>
      </c>
      <c r="I4" s="58" t="s">
        <v>128</v>
      </c>
      <c r="J4" s="53" t="s">
        <v>130</v>
      </c>
      <c r="K4" s="53" t="s">
        <v>133</v>
      </c>
      <c r="L4" s="53" t="s">
        <v>134</v>
      </c>
      <c r="M4" s="2"/>
    </row>
    <row r="5">
      <c r="A5" s="39">
        <v>4.0</v>
      </c>
      <c r="B5" s="41" t="s">
        <v>90</v>
      </c>
      <c r="C5" s="59"/>
      <c r="D5" s="54" t="s">
        <v>41</v>
      </c>
      <c r="E5" s="54" t="s">
        <v>42</v>
      </c>
      <c r="F5" s="57"/>
      <c r="G5" s="46" t="s">
        <v>141</v>
      </c>
      <c r="H5" s="36" t="s">
        <v>142</v>
      </c>
      <c r="I5" s="50" t="s">
        <v>143</v>
      </c>
      <c r="J5" s="52" t="s">
        <v>144</v>
      </c>
      <c r="K5" s="52" t="s">
        <v>145</v>
      </c>
      <c r="L5" s="53" t="s">
        <v>147</v>
      </c>
      <c r="M5" s="2"/>
    </row>
    <row r="6">
      <c r="A6" s="39">
        <v>5.0</v>
      </c>
      <c r="B6" s="41" t="s">
        <v>90</v>
      </c>
      <c r="C6" s="62" t="s">
        <v>152</v>
      </c>
      <c r="D6" s="54" t="s">
        <v>48</v>
      </c>
      <c r="E6" s="54" t="s">
        <v>51</v>
      </c>
      <c r="F6" s="57"/>
      <c r="G6" s="46" t="s">
        <v>156</v>
      </c>
      <c r="H6" s="36" t="s">
        <v>157</v>
      </c>
      <c r="I6" s="50" t="s">
        <v>158</v>
      </c>
      <c r="J6" s="52" t="s">
        <v>159</v>
      </c>
      <c r="K6" s="52" t="s">
        <v>160</v>
      </c>
      <c r="L6" s="53" t="s">
        <v>161</v>
      </c>
      <c r="M6" s="2"/>
      <c r="N6" s="65"/>
      <c r="O6" s="65"/>
    </row>
    <row r="7">
      <c r="A7" s="39">
        <v>6.0</v>
      </c>
      <c r="B7" s="41" t="s">
        <v>90</v>
      </c>
      <c r="C7" s="59"/>
      <c r="D7" s="43" t="s">
        <v>58</v>
      </c>
      <c r="E7" s="43" t="s">
        <v>148</v>
      </c>
      <c r="F7" s="46" t="s">
        <v>168</v>
      </c>
      <c r="G7" s="46" t="s">
        <v>169</v>
      </c>
      <c r="H7" s="46" t="s">
        <v>170</v>
      </c>
      <c r="I7" s="50" t="s">
        <v>171</v>
      </c>
      <c r="J7" s="52" t="s">
        <v>172</v>
      </c>
      <c r="K7" s="52" t="s">
        <v>173</v>
      </c>
      <c r="L7" s="53" t="s">
        <v>174</v>
      </c>
      <c r="M7" s="2"/>
      <c r="N7" s="65"/>
      <c r="O7" s="65"/>
    </row>
    <row r="8">
      <c r="A8" s="39">
        <v>7.0</v>
      </c>
      <c r="B8" s="67" t="s">
        <v>90</v>
      </c>
      <c r="C8" s="68"/>
      <c r="D8" s="70" t="s">
        <v>63</v>
      </c>
      <c r="E8" s="70" t="s">
        <v>64</v>
      </c>
      <c r="F8" s="71"/>
      <c r="G8" s="72" t="s">
        <v>189</v>
      </c>
      <c r="H8" s="72" t="s">
        <v>192</v>
      </c>
      <c r="I8" s="73" t="s">
        <v>197</v>
      </c>
      <c r="J8" s="75" t="s">
        <v>198</v>
      </c>
      <c r="K8" s="75" t="s">
        <v>202</v>
      </c>
      <c r="L8" s="75" t="s">
        <v>203</v>
      </c>
      <c r="M8" s="77" t="s">
        <v>204</v>
      </c>
      <c r="N8" s="65"/>
      <c r="O8" s="65"/>
    </row>
    <row r="9">
      <c r="A9" s="39">
        <v>8.0</v>
      </c>
      <c r="B9" s="41" t="s">
        <v>90</v>
      </c>
      <c r="C9" s="59"/>
      <c r="D9" s="54" t="s">
        <v>66</v>
      </c>
      <c r="E9" s="54" t="s">
        <v>187</v>
      </c>
      <c r="F9" s="46" t="s">
        <v>209</v>
      </c>
      <c r="G9" s="46" t="s">
        <v>212</v>
      </c>
      <c r="H9" s="36" t="s">
        <v>214</v>
      </c>
      <c r="I9" s="50" t="s">
        <v>216</v>
      </c>
      <c r="J9" s="52" t="s">
        <v>172</v>
      </c>
      <c r="K9" s="52" t="s">
        <v>217</v>
      </c>
      <c r="L9" s="53" t="s">
        <v>218</v>
      </c>
      <c r="M9" s="2"/>
      <c r="N9" s="65"/>
      <c r="O9" s="65"/>
    </row>
    <row r="10">
      <c r="A10" s="39">
        <v>9.0</v>
      </c>
      <c r="B10" s="41" t="s">
        <v>90</v>
      </c>
      <c r="C10" s="59"/>
      <c r="D10" s="46" t="s">
        <v>71</v>
      </c>
      <c r="E10" s="46" t="s">
        <v>195</v>
      </c>
      <c r="F10" s="46" t="s">
        <v>223</v>
      </c>
      <c r="G10" s="46" t="s">
        <v>224</v>
      </c>
      <c r="H10" s="46" t="s">
        <v>226</v>
      </c>
      <c r="I10" s="50" t="s">
        <v>228</v>
      </c>
      <c r="J10" s="52" t="s">
        <v>229</v>
      </c>
      <c r="K10" s="52" t="s">
        <v>230</v>
      </c>
      <c r="L10" s="53" t="s">
        <v>231</v>
      </c>
      <c r="M10" s="84"/>
      <c r="N10" s="65"/>
      <c r="O10" s="65"/>
    </row>
    <row r="11">
      <c r="A11" s="39">
        <v>10.0</v>
      </c>
      <c r="B11" s="41" t="s">
        <v>90</v>
      </c>
      <c r="C11" s="59"/>
      <c r="D11" s="54" t="s">
        <v>85</v>
      </c>
      <c r="E11" s="54" t="s">
        <v>86</v>
      </c>
      <c r="F11" s="57"/>
      <c r="G11" s="46" t="s">
        <v>237</v>
      </c>
      <c r="H11" s="36" t="s">
        <v>238</v>
      </c>
      <c r="I11" s="50" t="s">
        <v>239</v>
      </c>
      <c r="J11" s="52" t="s">
        <v>240</v>
      </c>
      <c r="K11" s="52" t="s">
        <v>241</v>
      </c>
      <c r="L11" s="53" t="s">
        <v>242</v>
      </c>
      <c r="M11" s="2"/>
      <c r="N11" s="65"/>
      <c r="O11" s="65"/>
    </row>
    <row r="12">
      <c r="A12" s="39">
        <v>11.0</v>
      </c>
      <c r="B12" s="41" t="s">
        <v>90</v>
      </c>
      <c r="C12" s="59"/>
      <c r="D12" s="54" t="s">
        <v>88</v>
      </c>
      <c r="E12" s="54" t="s">
        <v>246</v>
      </c>
      <c r="F12" s="46" t="s">
        <v>247</v>
      </c>
      <c r="G12" s="46" t="s">
        <v>248</v>
      </c>
      <c r="H12" s="36" t="s">
        <v>249</v>
      </c>
      <c r="I12" s="50" t="s">
        <v>250</v>
      </c>
      <c r="J12" s="52" t="s">
        <v>251</v>
      </c>
      <c r="K12" s="52" t="s">
        <v>254</v>
      </c>
      <c r="L12" s="53" t="s">
        <v>256</v>
      </c>
      <c r="M12" s="84"/>
      <c r="N12" s="65"/>
      <c r="O12" s="65"/>
    </row>
    <row r="13">
      <c r="A13" s="39">
        <v>12.0</v>
      </c>
      <c r="B13" s="41" t="s">
        <v>90</v>
      </c>
      <c r="C13" s="59"/>
      <c r="D13" s="43" t="s">
        <v>94</v>
      </c>
      <c r="E13" s="43" t="s">
        <v>258</v>
      </c>
      <c r="F13" s="46" t="s">
        <v>259</v>
      </c>
      <c r="G13" s="46" t="s">
        <v>260</v>
      </c>
      <c r="H13" s="46" t="s">
        <v>263</v>
      </c>
      <c r="I13" s="50" t="s">
        <v>265</v>
      </c>
      <c r="J13" s="52" t="s">
        <v>266</v>
      </c>
      <c r="K13" s="52" t="s">
        <v>267</v>
      </c>
      <c r="L13" s="53" t="s">
        <v>268</v>
      </c>
      <c r="M13" s="2"/>
      <c r="N13" s="65"/>
      <c r="O13" s="65"/>
    </row>
    <row r="14">
      <c r="A14" s="39">
        <v>13.0</v>
      </c>
      <c r="B14" s="86" t="s">
        <v>90</v>
      </c>
      <c r="C14" s="87"/>
      <c r="D14" s="43" t="s">
        <v>107</v>
      </c>
      <c r="E14" s="46" t="s">
        <v>276</v>
      </c>
      <c r="F14" s="46" t="s">
        <v>278</v>
      </c>
      <c r="G14" s="89" t="s">
        <v>280</v>
      </c>
      <c r="H14" s="46" t="s">
        <v>284</v>
      </c>
      <c r="I14" s="50" t="s">
        <v>285</v>
      </c>
      <c r="J14" s="53" t="s">
        <v>286</v>
      </c>
      <c r="K14" s="53" t="s">
        <v>287</v>
      </c>
      <c r="L14" s="53" t="s">
        <v>288</v>
      </c>
      <c r="M14" s="90"/>
      <c r="N14" s="65"/>
      <c r="O14" s="65"/>
    </row>
    <row r="15">
      <c r="A15" s="39">
        <v>14.0</v>
      </c>
      <c r="B15" s="41" t="s">
        <v>90</v>
      </c>
      <c r="C15" s="59"/>
      <c r="D15" s="43" t="s">
        <v>112</v>
      </c>
      <c r="E15" s="43" t="s">
        <v>292</v>
      </c>
      <c r="F15" s="46" t="s">
        <v>293</v>
      </c>
      <c r="G15" s="46" t="s">
        <v>296</v>
      </c>
      <c r="H15" s="46" t="s">
        <v>298</v>
      </c>
      <c r="I15" s="50" t="s">
        <v>299</v>
      </c>
      <c r="J15" s="52" t="s">
        <v>300</v>
      </c>
      <c r="K15" s="52" t="s">
        <v>301</v>
      </c>
      <c r="L15" s="53" t="s">
        <v>302</v>
      </c>
      <c r="M15" s="2"/>
      <c r="N15" s="65"/>
      <c r="O15" s="65"/>
    </row>
    <row r="16">
      <c r="A16" s="39">
        <v>15.0</v>
      </c>
      <c r="B16" s="41" t="s">
        <v>90</v>
      </c>
      <c r="C16" s="59"/>
      <c r="D16" s="43" t="s">
        <v>112</v>
      </c>
      <c r="E16" s="43" t="s">
        <v>117</v>
      </c>
      <c r="F16" s="46" t="s">
        <v>307</v>
      </c>
      <c r="G16" s="46" t="s">
        <v>308</v>
      </c>
      <c r="H16" s="36" t="s">
        <v>309</v>
      </c>
      <c r="I16" s="58" t="s">
        <v>310</v>
      </c>
      <c r="J16" s="53" t="s">
        <v>312</v>
      </c>
      <c r="K16" s="53" t="s">
        <v>314</v>
      </c>
      <c r="L16" s="53" t="s">
        <v>316</v>
      </c>
      <c r="M16" s="2"/>
      <c r="N16" s="65"/>
      <c r="O16" s="65"/>
    </row>
    <row r="17">
      <c r="A17" s="39">
        <v>16.0</v>
      </c>
      <c r="B17" s="41" t="s">
        <v>90</v>
      </c>
      <c r="C17" s="59"/>
      <c r="D17" s="43" t="s">
        <v>119</v>
      </c>
      <c r="E17" s="43" t="s">
        <v>121</v>
      </c>
      <c r="F17" s="44" t="s">
        <v>318</v>
      </c>
      <c r="G17" s="46" t="s">
        <v>319</v>
      </c>
      <c r="H17" s="36" t="s">
        <v>322</v>
      </c>
      <c r="I17" s="50" t="s">
        <v>324</v>
      </c>
      <c r="J17" s="52" t="s">
        <v>325</v>
      </c>
      <c r="K17" s="52" t="s">
        <v>326</v>
      </c>
      <c r="L17" s="53" t="s">
        <v>327</v>
      </c>
      <c r="M17" s="2"/>
      <c r="N17" s="65"/>
      <c r="O17" s="65"/>
    </row>
    <row r="18">
      <c r="A18" s="39">
        <v>17.0</v>
      </c>
      <c r="B18" s="41" t="s">
        <v>90</v>
      </c>
      <c r="C18" s="59"/>
      <c r="D18" s="43" t="s">
        <v>126</v>
      </c>
      <c r="E18" s="43" t="s">
        <v>127</v>
      </c>
      <c r="F18" s="46" t="s">
        <v>330</v>
      </c>
      <c r="G18" s="46" t="s">
        <v>331</v>
      </c>
      <c r="H18" s="46" t="s">
        <v>332</v>
      </c>
      <c r="I18" s="50" t="s">
        <v>333</v>
      </c>
      <c r="J18" s="52" t="s">
        <v>334</v>
      </c>
      <c r="K18" s="52" t="s">
        <v>335</v>
      </c>
      <c r="L18" s="53" t="s">
        <v>336</v>
      </c>
      <c r="M18" s="2"/>
      <c r="N18" s="65"/>
      <c r="O18" s="65"/>
    </row>
    <row r="19">
      <c r="A19" s="39">
        <v>18.0</v>
      </c>
      <c r="B19" s="41" t="s">
        <v>90</v>
      </c>
      <c r="C19" s="59"/>
      <c r="D19" s="54" t="s">
        <v>135</v>
      </c>
      <c r="E19" s="54" t="s">
        <v>136</v>
      </c>
      <c r="F19" s="46" t="s">
        <v>341</v>
      </c>
      <c r="G19" s="46" t="s">
        <v>342</v>
      </c>
      <c r="H19" s="14" t="s">
        <v>344</v>
      </c>
      <c r="I19" s="50" t="s">
        <v>347</v>
      </c>
      <c r="J19" s="52" t="s">
        <v>348</v>
      </c>
      <c r="K19" s="52" t="s">
        <v>349</v>
      </c>
      <c r="L19" s="53" t="s">
        <v>350</v>
      </c>
      <c r="M19" s="2"/>
      <c r="N19" s="65"/>
      <c r="O19" s="65"/>
    </row>
    <row r="20">
      <c r="A20" s="39">
        <v>19.0</v>
      </c>
      <c r="B20" s="41" t="s">
        <v>90</v>
      </c>
      <c r="C20" s="59"/>
      <c r="D20" s="43" t="s">
        <v>138</v>
      </c>
      <c r="E20" s="43" t="s">
        <v>139</v>
      </c>
      <c r="F20" s="46" t="s">
        <v>354</v>
      </c>
      <c r="G20" s="46" t="s">
        <v>356</v>
      </c>
      <c r="H20" s="46" t="s">
        <v>357</v>
      </c>
      <c r="I20" s="50" t="s">
        <v>358</v>
      </c>
      <c r="J20" s="52" t="s">
        <v>359</v>
      </c>
      <c r="K20" s="52" t="s">
        <v>361</v>
      </c>
      <c r="L20" s="52" t="s">
        <v>362</v>
      </c>
      <c r="M20" s="2"/>
      <c r="N20" s="65"/>
      <c r="O20" s="65"/>
    </row>
    <row r="21">
      <c r="A21" s="39">
        <v>20.0</v>
      </c>
      <c r="B21" s="41" t="s">
        <v>90</v>
      </c>
      <c r="C21" s="59"/>
      <c r="D21" s="43" t="s">
        <v>146</v>
      </c>
      <c r="E21" s="43" t="s">
        <v>149</v>
      </c>
      <c r="F21" s="57"/>
      <c r="G21" s="46" t="s">
        <v>366</v>
      </c>
      <c r="H21" s="36" t="s">
        <v>367</v>
      </c>
      <c r="I21" s="50" t="s">
        <v>368</v>
      </c>
      <c r="J21" s="52" t="s">
        <v>369</v>
      </c>
      <c r="K21" s="52" t="s">
        <v>370</v>
      </c>
      <c r="L21" s="52" t="s">
        <v>371</v>
      </c>
      <c r="M21" s="2"/>
      <c r="N21" s="65"/>
      <c r="O21" s="65"/>
    </row>
    <row r="22">
      <c r="A22" s="39">
        <v>21.0</v>
      </c>
      <c r="B22" s="67" t="s">
        <v>90</v>
      </c>
      <c r="C22" s="68"/>
      <c r="D22" s="70" t="s">
        <v>153</v>
      </c>
      <c r="E22" s="70" t="s">
        <v>154</v>
      </c>
      <c r="F22" s="72" t="s">
        <v>375</v>
      </c>
      <c r="G22" s="72" t="s">
        <v>376</v>
      </c>
      <c r="H22" s="95" t="s">
        <v>379</v>
      </c>
      <c r="I22" s="73" t="s">
        <v>394</v>
      </c>
      <c r="J22" s="75" t="s">
        <v>395</v>
      </c>
      <c r="K22" s="75" t="s">
        <v>396</v>
      </c>
      <c r="L22" s="75" t="s">
        <v>398</v>
      </c>
      <c r="M22" s="77" t="s">
        <v>204</v>
      </c>
      <c r="N22" s="65"/>
      <c r="O22" s="65"/>
    </row>
    <row r="23">
      <c r="A23" s="39">
        <v>22.0</v>
      </c>
      <c r="B23" s="41" t="s">
        <v>90</v>
      </c>
      <c r="C23" s="59"/>
      <c r="D23" s="54" t="s">
        <v>162</v>
      </c>
      <c r="E23" s="54" t="s">
        <v>163</v>
      </c>
      <c r="F23" s="46" t="s">
        <v>400</v>
      </c>
      <c r="G23" s="46" t="s">
        <v>401</v>
      </c>
      <c r="H23" s="36" t="s">
        <v>402</v>
      </c>
      <c r="I23" s="50" t="s">
        <v>403</v>
      </c>
      <c r="J23" s="52" t="s">
        <v>404</v>
      </c>
      <c r="K23" s="52" t="s">
        <v>406</v>
      </c>
      <c r="L23" s="52" t="s">
        <v>407</v>
      </c>
      <c r="M23" s="2"/>
      <c r="N23" s="65"/>
      <c r="O23" s="65"/>
    </row>
    <row r="24">
      <c r="A24" s="39">
        <v>23.0</v>
      </c>
      <c r="B24" s="67" t="s">
        <v>90</v>
      </c>
      <c r="C24" s="68"/>
      <c r="D24" s="70" t="s">
        <v>165</v>
      </c>
      <c r="E24" s="70" t="s">
        <v>166</v>
      </c>
      <c r="F24" s="72" t="s">
        <v>408</v>
      </c>
      <c r="G24" s="72" t="s">
        <v>409</v>
      </c>
      <c r="H24" s="72" t="s">
        <v>410</v>
      </c>
      <c r="I24" s="73" t="s">
        <v>411</v>
      </c>
      <c r="J24" s="75" t="s">
        <v>412</v>
      </c>
      <c r="K24" s="75" t="s">
        <v>413</v>
      </c>
      <c r="L24" s="75" t="s">
        <v>414</v>
      </c>
      <c r="M24" s="77" t="s">
        <v>204</v>
      </c>
      <c r="N24" s="65"/>
      <c r="O24" s="65"/>
    </row>
    <row r="25">
      <c r="A25" s="39">
        <v>24.0</v>
      </c>
      <c r="B25" s="41" t="s">
        <v>90</v>
      </c>
      <c r="C25" s="59"/>
      <c r="D25" s="43" t="s">
        <v>175</v>
      </c>
      <c r="E25" s="43" t="s">
        <v>80</v>
      </c>
      <c r="F25" s="57"/>
      <c r="G25" s="46" t="s">
        <v>417</v>
      </c>
      <c r="H25" s="36" t="s">
        <v>418</v>
      </c>
      <c r="I25" s="97" t="s">
        <v>419</v>
      </c>
      <c r="J25" s="62">
        <v>619407.0</v>
      </c>
      <c r="K25" s="62">
        <v>15103.0</v>
      </c>
      <c r="L25" s="52" t="s">
        <v>421</v>
      </c>
      <c r="M25" s="84"/>
      <c r="N25" s="65"/>
      <c r="O25" s="65"/>
    </row>
    <row r="26">
      <c r="A26" s="39">
        <v>25.0</v>
      </c>
      <c r="B26" s="41" t="s">
        <v>90</v>
      </c>
      <c r="C26" s="59"/>
      <c r="D26" s="46" t="s">
        <v>180</v>
      </c>
      <c r="E26" s="46" t="s">
        <v>181</v>
      </c>
      <c r="F26" s="46" t="s">
        <v>422</v>
      </c>
      <c r="G26" s="46" t="s">
        <v>423</v>
      </c>
      <c r="H26" s="46" t="s">
        <v>424</v>
      </c>
      <c r="I26" s="97" t="s">
        <v>425</v>
      </c>
      <c r="J26" s="62">
        <v>619408.0</v>
      </c>
      <c r="K26" s="62">
        <v>15103.0</v>
      </c>
      <c r="L26" s="52" t="s">
        <v>426</v>
      </c>
      <c r="M26" s="84"/>
      <c r="N26" s="65"/>
      <c r="O26" s="65"/>
    </row>
    <row r="27">
      <c r="A27" s="39">
        <v>26.0</v>
      </c>
      <c r="B27" s="67" t="s">
        <v>90</v>
      </c>
      <c r="C27" s="68"/>
      <c r="D27" s="70" t="s">
        <v>184</v>
      </c>
      <c r="E27" s="70" t="s">
        <v>185</v>
      </c>
      <c r="F27" s="72" t="s">
        <v>428</v>
      </c>
      <c r="G27" s="72" t="s">
        <v>429</v>
      </c>
      <c r="H27" s="72" t="s">
        <v>430</v>
      </c>
      <c r="I27" s="103" t="s">
        <v>431</v>
      </c>
      <c r="J27" s="105">
        <v>619409.0</v>
      </c>
      <c r="K27" s="105">
        <v>17141.0</v>
      </c>
      <c r="L27" s="75" t="s">
        <v>436</v>
      </c>
      <c r="M27" s="77" t="s">
        <v>204</v>
      </c>
      <c r="N27" s="65"/>
      <c r="O27" s="65"/>
    </row>
    <row r="28">
      <c r="A28" s="39">
        <v>27.0</v>
      </c>
      <c r="B28" s="41" t="s">
        <v>90</v>
      </c>
      <c r="C28" s="59"/>
      <c r="D28" s="54" t="s">
        <v>193</v>
      </c>
      <c r="E28" s="54" t="s">
        <v>194</v>
      </c>
      <c r="F28" s="46" t="s">
        <v>440</v>
      </c>
      <c r="G28" s="46" t="s">
        <v>441</v>
      </c>
      <c r="H28" s="46" t="s">
        <v>442</v>
      </c>
      <c r="I28" s="97" t="s">
        <v>443</v>
      </c>
      <c r="J28" s="62">
        <v>619410.0</v>
      </c>
      <c r="K28" s="62">
        <v>17155.0</v>
      </c>
      <c r="L28" s="52" t="s">
        <v>445</v>
      </c>
      <c r="M28" s="2"/>
      <c r="N28" s="65"/>
      <c r="O28" s="65"/>
    </row>
    <row r="29">
      <c r="A29" s="39">
        <v>28.0</v>
      </c>
      <c r="B29" s="41" t="s">
        <v>90</v>
      </c>
      <c r="C29" s="59"/>
      <c r="D29" s="54" t="s">
        <v>199</v>
      </c>
      <c r="E29" s="54" t="s">
        <v>200</v>
      </c>
      <c r="F29" s="57"/>
      <c r="G29" s="46" t="s">
        <v>447</v>
      </c>
      <c r="H29" s="36" t="s">
        <v>448</v>
      </c>
      <c r="I29" s="97" t="s">
        <v>449</v>
      </c>
      <c r="J29" s="62">
        <v>619411.0</v>
      </c>
      <c r="K29" s="62">
        <v>17157.0</v>
      </c>
      <c r="L29" s="52" t="s">
        <v>450</v>
      </c>
      <c r="M29" s="2"/>
      <c r="N29" s="65"/>
      <c r="O29" s="65"/>
    </row>
    <row r="30">
      <c r="A30" s="39">
        <v>29.0</v>
      </c>
      <c r="B30" s="41" t="s">
        <v>90</v>
      </c>
      <c r="C30" s="59"/>
      <c r="D30" s="46" t="s">
        <v>206</v>
      </c>
      <c r="E30" s="46" t="s">
        <v>397</v>
      </c>
      <c r="F30" s="46" t="s">
        <v>452</v>
      </c>
      <c r="G30" s="46" t="s">
        <v>453</v>
      </c>
      <c r="H30" s="46" t="s">
        <v>454</v>
      </c>
      <c r="I30" s="50" t="s">
        <v>455</v>
      </c>
      <c r="J30" s="52" t="s">
        <v>456</v>
      </c>
      <c r="K30" s="110">
        <v>18186.0</v>
      </c>
      <c r="L30" s="52" t="s">
        <v>457</v>
      </c>
      <c r="M30" s="2"/>
      <c r="N30" s="65"/>
      <c r="O30" s="65"/>
    </row>
    <row r="31">
      <c r="A31" s="39">
        <v>30.0</v>
      </c>
      <c r="B31" s="41" t="s">
        <v>90</v>
      </c>
      <c r="C31" s="59"/>
      <c r="D31" s="36" t="s">
        <v>210</v>
      </c>
      <c r="E31" s="36" t="s">
        <v>211</v>
      </c>
      <c r="F31" s="46" t="s">
        <v>458</v>
      </c>
      <c r="G31" s="46" t="s">
        <v>459</v>
      </c>
      <c r="H31" s="36" t="s">
        <v>461</v>
      </c>
      <c r="I31" s="50" t="s">
        <v>462</v>
      </c>
      <c r="J31" s="52" t="s">
        <v>463</v>
      </c>
      <c r="K31" s="52" t="s">
        <v>464</v>
      </c>
      <c r="L31" s="52" t="s">
        <v>465</v>
      </c>
      <c r="M31" s="2"/>
      <c r="N31" s="65"/>
      <c r="O31" s="65"/>
    </row>
    <row r="32">
      <c r="A32" s="39">
        <v>31.0</v>
      </c>
      <c r="B32" s="41" t="s">
        <v>90</v>
      </c>
      <c r="C32" s="59"/>
      <c r="D32" s="43" t="s">
        <v>219</v>
      </c>
      <c r="E32" s="43" t="s">
        <v>415</v>
      </c>
      <c r="F32" s="46" t="s">
        <v>466</v>
      </c>
      <c r="G32" s="46" t="s">
        <v>467</v>
      </c>
      <c r="H32" s="46" t="s">
        <v>468</v>
      </c>
      <c r="I32" s="97" t="s">
        <v>469</v>
      </c>
      <c r="J32" s="62">
        <v>619414.0</v>
      </c>
      <c r="K32" s="62">
        <v>17290.0</v>
      </c>
      <c r="L32" s="52" t="s">
        <v>470</v>
      </c>
      <c r="M32" s="2"/>
      <c r="N32" s="65"/>
      <c r="O32" s="65"/>
    </row>
    <row r="33">
      <c r="A33" s="39">
        <v>32.0</v>
      </c>
      <c r="B33" s="41" t="s">
        <v>90</v>
      </c>
      <c r="C33" s="55" t="s">
        <v>99</v>
      </c>
      <c r="D33" s="43" t="s">
        <v>219</v>
      </c>
      <c r="E33" s="43" t="s">
        <v>225</v>
      </c>
      <c r="F33" s="46" t="s">
        <v>471</v>
      </c>
      <c r="G33" s="46" t="s">
        <v>472</v>
      </c>
      <c r="H33" s="46" t="s">
        <v>473</v>
      </c>
      <c r="I33" s="97" t="s">
        <v>474</v>
      </c>
      <c r="J33" s="62">
        <v>619415.0</v>
      </c>
      <c r="K33" s="62">
        <v>18763.0</v>
      </c>
      <c r="L33" s="52" t="s">
        <v>475</v>
      </c>
      <c r="M33" s="2"/>
      <c r="N33" s="65"/>
      <c r="O33" s="65"/>
    </row>
    <row r="34">
      <c r="A34" s="39">
        <v>33.0</v>
      </c>
      <c r="B34" s="41" t="s">
        <v>90</v>
      </c>
      <c r="C34" s="59"/>
      <c r="D34" s="99" t="s">
        <v>233</v>
      </c>
      <c r="E34" s="99" t="s">
        <v>234</v>
      </c>
      <c r="F34" s="46" t="s">
        <v>477</v>
      </c>
      <c r="G34" s="46" t="s">
        <v>478</v>
      </c>
      <c r="H34" s="46" t="s">
        <v>479</v>
      </c>
      <c r="I34" s="97" t="s">
        <v>480</v>
      </c>
      <c r="J34" s="62">
        <v>619416.0</v>
      </c>
      <c r="K34" s="62">
        <v>17170.0</v>
      </c>
      <c r="L34" s="52" t="s">
        <v>481</v>
      </c>
      <c r="M34" s="2"/>
      <c r="N34" s="65"/>
      <c r="O34" s="65"/>
    </row>
    <row r="35">
      <c r="A35" s="39">
        <v>34.0</v>
      </c>
      <c r="B35" s="112" t="s">
        <v>90</v>
      </c>
      <c r="C35" s="113"/>
      <c r="D35" s="114" t="s">
        <v>243</v>
      </c>
      <c r="E35" s="114" t="s">
        <v>244</v>
      </c>
      <c r="F35" s="115" t="s">
        <v>484</v>
      </c>
      <c r="G35" s="115" t="s">
        <v>485</v>
      </c>
      <c r="H35" s="115" t="s">
        <v>486</v>
      </c>
      <c r="I35" s="116" t="s">
        <v>487</v>
      </c>
      <c r="J35" s="117">
        <v>618941.0</v>
      </c>
      <c r="K35" s="117">
        <v>17176.0</v>
      </c>
      <c r="L35" s="118" t="s">
        <v>490</v>
      </c>
      <c r="M35" s="119" t="s">
        <v>493</v>
      </c>
      <c r="N35" s="65"/>
      <c r="O35" s="65"/>
    </row>
    <row r="36">
      <c r="A36" s="39">
        <v>35.0</v>
      </c>
      <c r="B36" s="41" t="s">
        <v>90</v>
      </c>
      <c r="C36" s="55" t="s">
        <v>99</v>
      </c>
      <c r="D36" s="43" t="s">
        <v>435</v>
      </c>
      <c r="E36" s="43" t="s">
        <v>255</v>
      </c>
      <c r="F36" s="46" t="s">
        <v>494</v>
      </c>
      <c r="G36" s="46" t="s">
        <v>495</v>
      </c>
      <c r="H36" s="46" t="s">
        <v>496</v>
      </c>
      <c r="I36" s="120" t="s">
        <v>497</v>
      </c>
      <c r="J36" s="121">
        <v>619417.0</v>
      </c>
      <c r="K36" s="121">
        <v>18765.0</v>
      </c>
      <c r="L36" s="52" t="s">
        <v>498</v>
      </c>
      <c r="M36" s="2"/>
      <c r="N36" s="65"/>
      <c r="O36" s="65"/>
    </row>
    <row r="37">
      <c r="A37" s="39">
        <v>36.0</v>
      </c>
      <c r="B37" s="41" t="s">
        <v>90</v>
      </c>
      <c r="C37" s="59"/>
      <c r="D37" s="46" t="s">
        <v>261</v>
      </c>
      <c r="E37" s="46" t="s">
        <v>444</v>
      </c>
      <c r="F37" s="46" t="s">
        <v>500</v>
      </c>
      <c r="G37" s="46" t="s">
        <v>501</v>
      </c>
      <c r="H37" s="46" t="s">
        <v>502</v>
      </c>
      <c r="I37" s="97" t="s">
        <v>503</v>
      </c>
      <c r="J37" s="62">
        <v>619148.0</v>
      </c>
      <c r="K37" s="62">
        <v>18207.0</v>
      </c>
      <c r="L37" s="52" t="s">
        <v>504</v>
      </c>
      <c r="M37" s="2"/>
      <c r="N37" s="65"/>
      <c r="O37" s="65"/>
    </row>
    <row r="38">
      <c r="A38" s="39">
        <v>37.0</v>
      </c>
      <c r="B38" s="41" t="s">
        <v>90</v>
      </c>
      <c r="C38" s="59"/>
      <c r="D38" s="46" t="s">
        <v>270</v>
      </c>
      <c r="E38" s="46" t="s">
        <v>271</v>
      </c>
      <c r="F38" s="57"/>
      <c r="G38" s="46" t="s">
        <v>506</v>
      </c>
      <c r="H38" s="46" t="s">
        <v>507</v>
      </c>
      <c r="I38" s="97" t="s">
        <v>508</v>
      </c>
      <c r="J38" s="62">
        <v>619419.0</v>
      </c>
      <c r="K38" s="62">
        <v>18209.0</v>
      </c>
      <c r="L38" s="52" t="s">
        <v>509</v>
      </c>
      <c r="M38" s="2"/>
      <c r="N38" s="65"/>
      <c r="O38" s="65"/>
    </row>
    <row r="39">
      <c r="A39" s="39">
        <v>38.0</v>
      </c>
      <c r="B39" s="67" t="s">
        <v>90</v>
      </c>
      <c r="C39" s="68"/>
      <c r="D39" s="70" t="s">
        <v>275</v>
      </c>
      <c r="E39" s="70" t="s">
        <v>277</v>
      </c>
      <c r="F39" s="71"/>
      <c r="G39" s="72" t="s">
        <v>510</v>
      </c>
      <c r="H39" s="72" t="s">
        <v>511</v>
      </c>
      <c r="I39" s="103" t="s">
        <v>513</v>
      </c>
      <c r="J39" s="105">
        <v>619420.0</v>
      </c>
      <c r="K39" s="105">
        <v>17201.0</v>
      </c>
      <c r="L39" s="75" t="s">
        <v>514</v>
      </c>
      <c r="M39" s="77" t="s">
        <v>204</v>
      </c>
      <c r="N39" s="65"/>
      <c r="O39" s="65"/>
    </row>
    <row r="40">
      <c r="A40" s="39">
        <v>39.0</v>
      </c>
      <c r="B40" s="41" t="s">
        <v>90</v>
      </c>
      <c r="C40" s="87"/>
      <c r="D40" s="43" t="s">
        <v>281</v>
      </c>
      <c r="E40" s="43" t="s">
        <v>282</v>
      </c>
      <c r="F40" s="46" t="s">
        <v>516</v>
      </c>
      <c r="G40" s="46" t="s">
        <v>517</v>
      </c>
      <c r="H40" s="46" t="s">
        <v>518</v>
      </c>
      <c r="I40" s="120" t="s">
        <v>520</v>
      </c>
      <c r="J40" s="121">
        <v>619421.0</v>
      </c>
      <c r="K40" s="121">
        <v>18217.0</v>
      </c>
      <c r="L40" s="53" t="s">
        <v>521</v>
      </c>
      <c r="M40" s="2"/>
      <c r="N40" s="65"/>
      <c r="O40" s="65"/>
    </row>
    <row r="41">
      <c r="A41" s="39">
        <v>40.0</v>
      </c>
      <c r="B41" s="112" t="s">
        <v>90</v>
      </c>
      <c r="C41" s="113"/>
      <c r="D41" s="115" t="s">
        <v>289</v>
      </c>
      <c r="E41" s="115" t="s">
        <v>246</v>
      </c>
      <c r="F41" s="115" t="s">
        <v>522</v>
      </c>
      <c r="G41" s="115" t="s">
        <v>523</v>
      </c>
      <c r="H41" s="115" t="s">
        <v>524</v>
      </c>
      <c r="I41" s="116" t="s">
        <v>525</v>
      </c>
      <c r="J41" s="117">
        <v>619422.0</v>
      </c>
      <c r="K41" s="117">
        <v>18218.0</v>
      </c>
      <c r="L41" s="118" t="s">
        <v>526</v>
      </c>
      <c r="M41" s="119" t="s">
        <v>493</v>
      </c>
      <c r="N41" s="65"/>
      <c r="O41" s="65"/>
    </row>
    <row r="42">
      <c r="A42" s="39">
        <v>41.0</v>
      </c>
      <c r="B42" s="41" t="s">
        <v>90</v>
      </c>
      <c r="C42" s="59"/>
      <c r="D42" s="46" t="s">
        <v>294</v>
      </c>
      <c r="E42" s="46" t="s">
        <v>295</v>
      </c>
      <c r="F42" s="46" t="s">
        <v>234</v>
      </c>
      <c r="G42" s="46" t="s">
        <v>528</v>
      </c>
      <c r="H42" s="46" t="s">
        <v>529</v>
      </c>
      <c r="I42" s="97" t="s">
        <v>530</v>
      </c>
      <c r="J42" s="62">
        <v>619423.0</v>
      </c>
      <c r="K42" s="62">
        <v>18327.0</v>
      </c>
      <c r="L42" s="53" t="s">
        <v>532</v>
      </c>
      <c r="M42" s="2"/>
      <c r="N42" s="65"/>
      <c r="O42" s="65"/>
    </row>
    <row r="43">
      <c r="A43" s="39">
        <v>42.0</v>
      </c>
      <c r="B43" s="41" t="s">
        <v>90</v>
      </c>
      <c r="C43" s="59"/>
      <c r="D43" s="36" t="s">
        <v>304</v>
      </c>
      <c r="E43" s="36" t="s">
        <v>305</v>
      </c>
      <c r="F43" s="46" t="s">
        <v>533</v>
      </c>
      <c r="G43" s="46" t="s">
        <v>534</v>
      </c>
      <c r="H43" s="36" t="s">
        <v>535</v>
      </c>
      <c r="I43" s="97" t="s">
        <v>536</v>
      </c>
      <c r="J43" s="62">
        <v>619424.0</v>
      </c>
      <c r="K43" s="62">
        <v>17213.0</v>
      </c>
      <c r="L43" s="52" t="s">
        <v>537</v>
      </c>
      <c r="M43" s="2"/>
    </row>
    <row r="44">
      <c r="A44" s="39">
        <v>43.0</v>
      </c>
      <c r="B44" s="41" t="s">
        <v>90</v>
      </c>
      <c r="C44" s="55" t="s">
        <v>99</v>
      </c>
      <c r="D44" s="46" t="s">
        <v>313</v>
      </c>
      <c r="E44" s="46" t="s">
        <v>315</v>
      </c>
      <c r="F44" s="46" t="s">
        <v>539</v>
      </c>
      <c r="G44" s="46" t="s">
        <v>540</v>
      </c>
      <c r="H44" s="126" t="s">
        <v>541</v>
      </c>
      <c r="I44" s="127" t="s">
        <v>542</v>
      </c>
      <c r="J44" s="62">
        <v>619425.0</v>
      </c>
      <c r="K44" s="62">
        <v>18772.0</v>
      </c>
      <c r="L44" s="52" t="s">
        <v>543</v>
      </c>
      <c r="M44" s="2"/>
    </row>
    <row r="45">
      <c r="A45" s="39">
        <v>44.0</v>
      </c>
      <c r="B45" s="41" t="s">
        <v>90</v>
      </c>
      <c r="C45" s="59"/>
      <c r="D45" s="46" t="s">
        <v>328</v>
      </c>
      <c r="E45" s="46" t="s">
        <v>321</v>
      </c>
      <c r="F45" s="57"/>
      <c r="G45" s="46" t="s">
        <v>544</v>
      </c>
      <c r="H45" s="46" t="s">
        <v>545</v>
      </c>
      <c r="I45" s="97" t="s">
        <v>546</v>
      </c>
      <c r="J45" s="62">
        <v>619427.0</v>
      </c>
      <c r="K45" s="62">
        <v>18238.0</v>
      </c>
      <c r="L45" s="52" t="s">
        <v>547</v>
      </c>
      <c r="M45" s="2"/>
    </row>
    <row r="46">
      <c r="A46" s="39">
        <v>45.0</v>
      </c>
      <c r="B46" s="41" t="s">
        <v>90</v>
      </c>
      <c r="C46" s="59"/>
      <c r="D46" s="46" t="s">
        <v>337</v>
      </c>
      <c r="E46" s="46" t="s">
        <v>488</v>
      </c>
      <c r="F46" s="46" t="s">
        <v>548</v>
      </c>
      <c r="G46" s="46" t="s">
        <v>549</v>
      </c>
      <c r="H46" s="46" t="s">
        <v>550</v>
      </c>
      <c r="I46" s="97" t="s">
        <v>551</v>
      </c>
      <c r="J46" s="62">
        <v>619428.0</v>
      </c>
      <c r="K46" s="62">
        <v>18243.0</v>
      </c>
      <c r="L46" s="52" t="s">
        <v>552</v>
      </c>
      <c r="M46" s="2"/>
    </row>
    <row r="47">
      <c r="A47" s="39">
        <v>46.0</v>
      </c>
      <c r="B47" s="41" t="s">
        <v>90</v>
      </c>
      <c r="C47" s="55" t="s">
        <v>99</v>
      </c>
      <c r="D47" s="46" t="s">
        <v>343</v>
      </c>
      <c r="E47" s="46" t="s">
        <v>166</v>
      </c>
      <c r="F47" s="57"/>
      <c r="G47" s="46" t="s">
        <v>553</v>
      </c>
      <c r="H47" s="130" t="s">
        <v>554</v>
      </c>
      <c r="I47" s="131" t="s">
        <v>555</v>
      </c>
      <c r="J47" s="62">
        <v>619429.0</v>
      </c>
      <c r="K47" s="62">
        <v>18244.0</v>
      </c>
      <c r="L47" s="52" t="s">
        <v>556</v>
      </c>
      <c r="M47" s="2"/>
    </row>
    <row r="48">
      <c r="A48" s="39">
        <v>47.0</v>
      </c>
      <c r="B48" s="41" t="s">
        <v>90</v>
      </c>
      <c r="C48" s="59"/>
      <c r="D48" s="46" t="s">
        <v>352</v>
      </c>
      <c r="E48" s="46" t="s">
        <v>353</v>
      </c>
      <c r="F48" s="57"/>
      <c r="G48" s="46" t="s">
        <v>557</v>
      </c>
      <c r="H48" s="132" t="s">
        <v>558</v>
      </c>
      <c r="I48" s="131" t="s">
        <v>559</v>
      </c>
      <c r="J48" s="62">
        <v>619430.0</v>
      </c>
      <c r="K48" s="62">
        <v>18246.0</v>
      </c>
      <c r="L48" s="52" t="s">
        <v>560</v>
      </c>
      <c r="M48" s="2"/>
    </row>
    <row r="49">
      <c r="A49" s="39">
        <v>48.0</v>
      </c>
      <c r="B49" s="41" t="s">
        <v>90</v>
      </c>
      <c r="C49" s="59"/>
      <c r="D49" s="36" t="s">
        <v>363</v>
      </c>
      <c r="E49" s="36" t="s">
        <v>364</v>
      </c>
      <c r="F49" s="134"/>
      <c r="G49" s="46" t="s">
        <v>561</v>
      </c>
      <c r="H49" s="36" t="s">
        <v>562</v>
      </c>
      <c r="I49" s="131" t="s">
        <v>563</v>
      </c>
      <c r="J49" s="62">
        <v>619431.0</v>
      </c>
      <c r="K49" s="62">
        <v>17229.0</v>
      </c>
      <c r="L49" s="52" t="s">
        <v>564</v>
      </c>
      <c r="M49" s="2"/>
    </row>
    <row r="50">
      <c r="A50" s="39">
        <v>49.0</v>
      </c>
      <c r="B50" s="41" t="s">
        <v>90</v>
      </c>
      <c r="C50" s="59"/>
      <c r="D50" s="46" t="s">
        <v>372</v>
      </c>
      <c r="E50" s="46" t="s">
        <v>373</v>
      </c>
      <c r="F50" s="46" t="s">
        <v>565</v>
      </c>
      <c r="G50" s="46" t="s">
        <v>566</v>
      </c>
      <c r="H50" s="46" t="s">
        <v>567</v>
      </c>
      <c r="I50" s="97" t="s">
        <v>568</v>
      </c>
      <c r="J50" s="62">
        <v>619432.0</v>
      </c>
      <c r="K50" s="62">
        <v>18251.0</v>
      </c>
      <c r="L50" s="52" t="s">
        <v>569</v>
      </c>
      <c r="M50" s="2"/>
    </row>
    <row r="51">
      <c r="A51" s="39">
        <v>50.0</v>
      </c>
      <c r="B51" s="41" t="s">
        <v>90</v>
      </c>
      <c r="C51" s="59"/>
      <c r="D51" s="46" t="s">
        <v>378</v>
      </c>
      <c r="E51" s="46" t="s">
        <v>380</v>
      </c>
      <c r="F51" s="57"/>
      <c r="G51" s="46" t="s">
        <v>570</v>
      </c>
      <c r="H51" s="46" t="s">
        <v>571</v>
      </c>
      <c r="I51" s="120" t="s">
        <v>572</v>
      </c>
      <c r="J51" s="121">
        <v>619433.0</v>
      </c>
      <c r="K51" s="121">
        <v>18774.0</v>
      </c>
      <c r="L51" s="52" t="s">
        <v>573</v>
      </c>
      <c r="M51" s="2"/>
    </row>
    <row r="52">
      <c r="A52" s="39">
        <v>51.0</v>
      </c>
      <c r="B52" s="41" t="s">
        <v>90</v>
      </c>
      <c r="C52" s="59"/>
      <c r="D52" s="46" t="s">
        <v>382</v>
      </c>
      <c r="E52" s="46" t="s">
        <v>527</v>
      </c>
      <c r="F52" s="36" t="s">
        <v>574</v>
      </c>
      <c r="G52" s="36" t="s">
        <v>575</v>
      </c>
      <c r="H52" s="46" t="s">
        <v>576</v>
      </c>
      <c r="I52" s="97" t="s">
        <v>577</v>
      </c>
      <c r="J52" s="62">
        <v>619434.0</v>
      </c>
      <c r="K52" s="62">
        <v>18266.0</v>
      </c>
      <c r="L52" s="52" t="s">
        <v>578</v>
      </c>
      <c r="M52" s="2"/>
    </row>
    <row r="53">
      <c r="A53" s="39">
        <v>52.0</v>
      </c>
      <c r="B53" s="41" t="s">
        <v>90</v>
      </c>
      <c r="C53" s="59"/>
      <c r="D53" s="29" t="s">
        <v>386</v>
      </c>
      <c r="E53" s="29" t="s">
        <v>387</v>
      </c>
      <c r="F53" s="36" t="s">
        <v>579</v>
      </c>
      <c r="G53" s="36" t="s">
        <v>580</v>
      </c>
      <c r="H53" s="36" t="s">
        <v>581</v>
      </c>
      <c r="I53" s="97" t="s">
        <v>582</v>
      </c>
      <c r="J53" s="62">
        <v>619435.0</v>
      </c>
      <c r="K53" s="62">
        <v>17265.0</v>
      </c>
      <c r="L53" s="52" t="s">
        <v>583</v>
      </c>
      <c r="M53" s="2"/>
    </row>
    <row r="54">
      <c r="A54" s="39">
        <v>53.0</v>
      </c>
      <c r="B54" s="121" t="s">
        <v>90</v>
      </c>
      <c r="C54" s="57"/>
      <c r="D54" s="46" t="s">
        <v>390</v>
      </c>
      <c r="E54" s="46" t="s">
        <v>391</v>
      </c>
      <c r="F54" s="46" t="s">
        <v>584</v>
      </c>
      <c r="G54" s="46" t="s">
        <v>585</v>
      </c>
      <c r="H54" s="46" t="s">
        <v>586</v>
      </c>
      <c r="I54" s="135" t="s">
        <v>587</v>
      </c>
      <c r="J54" s="27">
        <v>618954.0</v>
      </c>
      <c r="K54" s="27">
        <v>17271.0</v>
      </c>
      <c r="L54" s="136" t="s">
        <v>588</v>
      </c>
    </row>
    <row r="55">
      <c r="A55" s="137"/>
      <c r="B55" s="138"/>
      <c r="D55" s="126"/>
      <c r="E55" s="126"/>
      <c r="F55" s="51"/>
      <c r="G55" s="126"/>
      <c r="H55" s="126"/>
      <c r="I55" s="139"/>
      <c r="J55" s="139"/>
      <c r="L55" s="140"/>
    </row>
    <row r="56">
      <c r="A56" s="141" t="s">
        <v>589</v>
      </c>
      <c r="B56" s="84"/>
      <c r="C56" s="2"/>
      <c r="D56" s="129"/>
      <c r="E56" s="126"/>
      <c r="F56" s="126"/>
      <c r="G56" s="126"/>
      <c r="H56" s="129"/>
      <c r="I56" s="139"/>
      <c r="J56" s="139"/>
      <c r="L56" s="139"/>
    </row>
    <row r="57">
      <c r="A57" s="142" t="s">
        <v>590</v>
      </c>
      <c r="B57" s="84"/>
      <c r="C57" s="143">
        <v>5.0</v>
      </c>
      <c r="D57" s="126"/>
      <c r="E57" s="126"/>
      <c r="F57" s="126"/>
      <c r="G57" s="126"/>
      <c r="H57" s="126"/>
      <c r="I57" s="139"/>
      <c r="J57" s="139"/>
      <c r="L57" s="140"/>
    </row>
    <row r="58">
      <c r="A58" s="142" t="s">
        <v>591</v>
      </c>
      <c r="B58" s="84"/>
      <c r="C58" s="139">
        <v>0.0</v>
      </c>
      <c r="D58" s="126"/>
      <c r="E58" s="126"/>
      <c r="F58" s="126"/>
      <c r="G58" s="126"/>
      <c r="H58" s="126"/>
      <c r="I58" s="139"/>
      <c r="J58" s="139"/>
      <c r="L58" s="139"/>
    </row>
    <row r="59">
      <c r="A59" s="142" t="s">
        <v>592</v>
      </c>
      <c r="B59" s="84"/>
      <c r="C59" s="139">
        <v>5.0</v>
      </c>
      <c r="D59" s="126"/>
      <c r="E59" s="126"/>
      <c r="F59" s="51"/>
      <c r="G59" s="126"/>
      <c r="H59" s="129"/>
      <c r="I59" s="144"/>
      <c r="J59" s="144"/>
      <c r="L59" s="139"/>
    </row>
    <row r="60">
      <c r="A60" s="137"/>
      <c r="B60" s="138"/>
      <c r="C60" s="145"/>
      <c r="D60" s="126"/>
      <c r="E60" s="126"/>
      <c r="F60" s="129"/>
      <c r="G60" s="126"/>
      <c r="H60" s="126"/>
      <c r="I60" s="144"/>
      <c r="J60" s="144"/>
      <c r="L60" s="139"/>
    </row>
    <row r="61">
      <c r="A61" s="137"/>
      <c r="B61" s="138"/>
      <c r="C61" s="145"/>
      <c r="D61" s="126"/>
      <c r="E61" s="126"/>
      <c r="F61" s="129"/>
      <c r="G61" s="129"/>
      <c r="H61" s="129"/>
      <c r="I61" s="139"/>
      <c r="J61" s="139"/>
      <c r="L61" s="129"/>
    </row>
    <row r="62">
      <c r="A62" s="141" t="s">
        <v>593</v>
      </c>
      <c r="B62" s="84"/>
      <c r="C62" s="84"/>
      <c r="D62" s="126"/>
      <c r="E62" s="126"/>
      <c r="F62" s="129"/>
      <c r="G62" s="129"/>
      <c r="H62" s="129"/>
      <c r="I62" s="139"/>
      <c r="J62" s="139"/>
      <c r="L62" s="140"/>
    </row>
    <row r="63">
      <c r="A63" s="129" t="s">
        <v>594</v>
      </c>
      <c r="B63" s="2"/>
      <c r="C63" s="143">
        <v>49.0</v>
      </c>
    </row>
    <row r="64">
      <c r="A64" s="129" t="s">
        <v>591</v>
      </c>
      <c r="B64" s="2"/>
      <c r="C64" s="139">
        <v>9.0</v>
      </c>
    </row>
    <row r="65">
      <c r="A65" s="129" t="s">
        <v>595</v>
      </c>
      <c r="B65" s="2"/>
      <c r="C65" s="139">
        <v>40.0</v>
      </c>
    </row>
    <row r="70">
      <c r="A70" s="129" t="s">
        <v>596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>
      <c r="A71" s="146">
        <v>14.0</v>
      </c>
      <c r="B71" s="147" t="s">
        <v>90</v>
      </c>
      <c r="C71" s="148"/>
      <c r="D71" s="149" t="s">
        <v>102</v>
      </c>
      <c r="E71" s="149" t="s">
        <v>103</v>
      </c>
      <c r="F71" s="148"/>
      <c r="G71" s="149" t="s">
        <v>597</v>
      </c>
      <c r="H71" s="149" t="s">
        <v>598</v>
      </c>
      <c r="I71" s="150" t="s">
        <v>599</v>
      </c>
      <c r="J71" s="151" t="s">
        <v>600</v>
      </c>
      <c r="K71" s="151" t="s">
        <v>601</v>
      </c>
      <c r="L71" s="151" t="s">
        <v>602</v>
      </c>
    </row>
    <row r="72">
      <c r="A72" s="2"/>
      <c r="B72" s="2" t="s">
        <v>519</v>
      </c>
      <c r="C72" s="2"/>
      <c r="D72" s="2"/>
      <c r="E72" s="2"/>
      <c r="F72" s="2"/>
      <c r="G72" s="2"/>
      <c r="H72" s="2"/>
      <c r="I72" s="2"/>
      <c r="J72" s="2"/>
      <c r="K72" s="2"/>
      <c r="L72" s="2"/>
    </row>
    <row r="73">
      <c r="A73" s="2"/>
      <c r="G73" s="2"/>
      <c r="H73" s="2"/>
      <c r="I73" s="2"/>
      <c r="J73" s="2"/>
      <c r="K73" s="2"/>
      <c r="L73" s="2"/>
    </row>
    <row r="74">
      <c r="A74" s="152" t="s">
        <v>603</v>
      </c>
    </row>
    <row r="75">
      <c r="A75" s="153">
        <v>44.0</v>
      </c>
      <c r="B75" s="154" t="s">
        <v>90</v>
      </c>
      <c r="C75" s="155"/>
      <c r="D75" s="156" t="s">
        <v>320</v>
      </c>
      <c r="E75" s="156" t="s">
        <v>321</v>
      </c>
      <c r="F75" s="156" t="s">
        <v>604</v>
      </c>
      <c r="G75" s="156" t="s">
        <v>605</v>
      </c>
      <c r="H75" s="156" t="s">
        <v>606</v>
      </c>
      <c r="I75" s="150" t="s">
        <v>607</v>
      </c>
      <c r="J75" s="157">
        <v>619426.0</v>
      </c>
      <c r="K75" s="157">
        <v>17570.0</v>
      </c>
      <c r="L75" s="158" t="s">
        <v>608</v>
      </c>
    </row>
    <row r="78">
      <c r="A78" s="159" t="s">
        <v>609</v>
      </c>
    </row>
    <row r="79">
      <c r="A79" s="160">
        <v>10.0</v>
      </c>
      <c r="B79" s="161" t="s">
        <v>90</v>
      </c>
      <c r="C79" s="162"/>
      <c r="D79" s="163" t="s">
        <v>79</v>
      </c>
      <c r="E79" s="163" t="s">
        <v>80</v>
      </c>
      <c r="F79" s="148"/>
      <c r="G79" s="149" t="s">
        <v>610</v>
      </c>
      <c r="H79" s="149" t="s">
        <v>611</v>
      </c>
      <c r="I79" s="164" t="s">
        <v>612</v>
      </c>
      <c r="J79" s="165" t="s">
        <v>613</v>
      </c>
      <c r="K79" s="165" t="s">
        <v>614</v>
      </c>
      <c r="L79" s="165" t="s">
        <v>615</v>
      </c>
      <c r="M79" s="51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</sheetData>
  <mergeCells count="3">
    <mergeCell ref="A73:F73"/>
    <mergeCell ref="A74:F74"/>
    <mergeCell ref="A78:C78"/>
  </mergeCells>
  <hyperlinks>
    <hyperlink r:id="rId1" ref="H2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3" max="3" width="15.5"/>
    <col customWidth="1" min="5" max="5" width="14.75"/>
    <col customWidth="1" min="6" max="6" width="18.13"/>
    <col customWidth="1" min="7" max="7" width="14.63"/>
    <col customWidth="1" min="9" max="10" width="16.13"/>
    <col customWidth="1" min="13" max="13" width="17.7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8" t="s">
        <v>4</v>
      </c>
      <c r="B2" s="11" t="s">
        <v>18</v>
      </c>
      <c r="C2" s="11" t="s">
        <v>25</v>
      </c>
      <c r="D2" s="8" t="s">
        <v>15</v>
      </c>
      <c r="E2" s="11" t="s">
        <v>26</v>
      </c>
      <c r="F2" s="15" t="s">
        <v>27</v>
      </c>
      <c r="G2" s="18" t="s">
        <v>32</v>
      </c>
      <c r="H2" s="18" t="s">
        <v>38</v>
      </c>
      <c r="I2" s="20" t="s">
        <v>39</v>
      </c>
      <c r="J2" s="20" t="s">
        <v>44</v>
      </c>
      <c r="K2" s="22" t="s">
        <v>46</v>
      </c>
      <c r="L2" s="23" t="s">
        <v>49</v>
      </c>
      <c r="M2" s="22" t="s">
        <v>54</v>
      </c>
      <c r="N2" s="22" t="s">
        <v>55</v>
      </c>
      <c r="O2" s="22" t="s">
        <v>56</v>
      </c>
      <c r="P2" s="22" t="s">
        <v>57</v>
      </c>
      <c r="Q2" s="25" t="s">
        <v>60</v>
      </c>
      <c r="X2" s="2"/>
    </row>
    <row r="3">
      <c r="A3" s="27">
        <v>1.0</v>
      </c>
      <c r="B3" s="29" t="s">
        <v>29</v>
      </c>
      <c r="C3" s="29" t="s">
        <v>68</v>
      </c>
      <c r="D3" s="31"/>
      <c r="E3" s="33" t="s">
        <v>74</v>
      </c>
      <c r="F3" s="14" t="s">
        <v>78</v>
      </c>
      <c r="G3" s="36" t="s">
        <v>83</v>
      </c>
      <c r="H3" s="31"/>
      <c r="I3" s="38">
        <v>46054.0</v>
      </c>
      <c r="J3" s="40">
        <v>46418.0</v>
      </c>
      <c r="K3" s="31"/>
      <c r="L3" s="36" t="s">
        <v>92</v>
      </c>
      <c r="M3" s="36" t="s">
        <v>92</v>
      </c>
      <c r="N3" s="36" t="s">
        <v>92</v>
      </c>
      <c r="O3" s="36" t="s">
        <v>92</v>
      </c>
      <c r="P3" s="31"/>
      <c r="Q3" s="31"/>
      <c r="X3" s="2"/>
    </row>
    <row r="4">
      <c r="A4" s="27">
        <v>2.0</v>
      </c>
      <c r="B4" s="43" t="s">
        <v>95</v>
      </c>
      <c r="C4" s="43" t="s">
        <v>35</v>
      </c>
      <c r="D4" s="45" t="s">
        <v>99</v>
      </c>
      <c r="E4" s="47" t="s">
        <v>101</v>
      </c>
      <c r="F4" s="49" t="s">
        <v>106</v>
      </c>
      <c r="G4" s="51"/>
      <c r="H4" s="31"/>
      <c r="I4" s="38">
        <v>46050.0</v>
      </c>
      <c r="J4" s="38">
        <v>46722.0</v>
      </c>
      <c r="K4" s="31"/>
      <c r="L4" s="31"/>
      <c r="M4" s="31"/>
      <c r="N4" s="31"/>
      <c r="O4" s="31"/>
      <c r="P4" s="31"/>
      <c r="Q4" s="31"/>
      <c r="X4" s="2"/>
    </row>
    <row r="5">
      <c r="A5" s="27">
        <v>3.0</v>
      </c>
      <c r="B5" s="54" t="s">
        <v>41</v>
      </c>
      <c r="C5" s="54" t="s">
        <v>42</v>
      </c>
      <c r="D5" s="56"/>
      <c r="E5" s="36" t="s">
        <v>120</v>
      </c>
      <c r="F5" s="36" t="s">
        <v>123</v>
      </c>
      <c r="G5" s="36" t="s">
        <v>83</v>
      </c>
      <c r="H5" s="31"/>
      <c r="I5" s="38">
        <v>46054.0</v>
      </c>
      <c r="J5" s="38">
        <v>46371.0</v>
      </c>
      <c r="K5" s="31"/>
      <c r="L5" s="36" t="s">
        <v>92</v>
      </c>
      <c r="M5" s="36" t="s">
        <v>4</v>
      </c>
      <c r="N5" s="36" t="s">
        <v>92</v>
      </c>
      <c r="O5" s="36" t="s">
        <v>92</v>
      </c>
      <c r="P5" s="31"/>
      <c r="Q5" s="31"/>
      <c r="X5" s="2"/>
    </row>
    <row r="6">
      <c r="A6" s="27">
        <v>4.0</v>
      </c>
      <c r="B6" s="54" t="s">
        <v>48</v>
      </c>
      <c r="C6" s="54" t="s">
        <v>51</v>
      </c>
      <c r="D6" s="56"/>
      <c r="E6" s="36" t="s">
        <v>131</v>
      </c>
      <c r="F6" s="36" t="s">
        <v>132</v>
      </c>
      <c r="G6" s="31"/>
      <c r="H6" s="31"/>
      <c r="I6" s="60">
        <v>46049.0</v>
      </c>
      <c r="J6" s="60">
        <v>46414.0</v>
      </c>
      <c r="K6" s="31"/>
      <c r="L6" s="36" t="s">
        <v>92</v>
      </c>
      <c r="M6" s="36" t="s">
        <v>92</v>
      </c>
      <c r="N6" s="31"/>
      <c r="O6" s="31"/>
      <c r="P6" s="31"/>
      <c r="Q6" s="31"/>
      <c r="X6" s="2"/>
    </row>
    <row r="7">
      <c r="A7" s="27">
        <v>5.0</v>
      </c>
      <c r="B7" s="43" t="s">
        <v>58</v>
      </c>
      <c r="C7" s="43" t="s">
        <v>148</v>
      </c>
      <c r="D7" s="56"/>
      <c r="E7" s="36" t="s">
        <v>131</v>
      </c>
      <c r="F7" s="61" t="s">
        <v>151</v>
      </c>
      <c r="G7" s="57"/>
      <c r="H7" s="31"/>
      <c r="I7" s="63">
        <v>46237.0</v>
      </c>
      <c r="J7" s="64">
        <v>46599.0</v>
      </c>
      <c r="K7" s="66"/>
      <c r="L7" s="31"/>
      <c r="M7" s="31"/>
      <c r="N7" s="31"/>
      <c r="O7" s="31"/>
      <c r="P7" s="31"/>
      <c r="Q7" s="31"/>
      <c r="X7" s="2"/>
    </row>
    <row r="8">
      <c r="A8" s="27">
        <v>6.0</v>
      </c>
      <c r="B8" s="54" t="s">
        <v>63</v>
      </c>
      <c r="C8" s="54" t="s">
        <v>64</v>
      </c>
      <c r="D8" s="56"/>
      <c r="E8" s="36" t="s">
        <v>177</v>
      </c>
      <c r="F8" s="36" t="s">
        <v>178</v>
      </c>
      <c r="G8" s="46" t="s">
        <v>179</v>
      </c>
      <c r="H8" s="31"/>
      <c r="I8" s="69" t="s">
        <v>183</v>
      </c>
      <c r="J8" s="38">
        <v>46446.0</v>
      </c>
      <c r="K8" s="31"/>
      <c r="L8" s="36" t="s">
        <v>92</v>
      </c>
      <c r="M8" s="36" t="s">
        <v>92</v>
      </c>
      <c r="N8" s="36" t="s">
        <v>92</v>
      </c>
      <c r="O8" s="31"/>
      <c r="P8" s="31"/>
      <c r="Q8" s="31"/>
      <c r="X8" s="2"/>
    </row>
    <row r="9">
      <c r="A9" s="27">
        <v>7.0</v>
      </c>
      <c r="B9" s="54" t="s">
        <v>66</v>
      </c>
      <c r="C9" s="54" t="s">
        <v>187</v>
      </c>
      <c r="D9" s="56"/>
      <c r="E9" s="36" t="s">
        <v>188</v>
      </c>
      <c r="F9" s="49" t="s">
        <v>190</v>
      </c>
      <c r="G9" s="46" t="s">
        <v>191</v>
      </c>
      <c r="H9" s="57"/>
      <c r="I9" s="64">
        <v>46204.0</v>
      </c>
      <c r="J9" s="64">
        <v>46568.0</v>
      </c>
      <c r="K9" s="66"/>
      <c r="L9" s="31"/>
      <c r="M9" s="31"/>
      <c r="N9" s="31"/>
      <c r="O9" s="31"/>
      <c r="P9" s="31"/>
      <c r="Q9" s="31"/>
      <c r="X9" s="2"/>
    </row>
    <row r="10">
      <c r="A10" s="27">
        <v>8.0</v>
      </c>
      <c r="B10" s="46" t="s">
        <v>71</v>
      </c>
      <c r="C10" s="46" t="s">
        <v>195</v>
      </c>
      <c r="D10" s="56"/>
      <c r="E10" s="76"/>
      <c r="F10" s="78" t="s">
        <v>205</v>
      </c>
      <c r="G10" s="79"/>
      <c r="H10" s="80"/>
      <c r="I10" s="81" t="s">
        <v>215</v>
      </c>
      <c r="J10" s="81" t="s">
        <v>215</v>
      </c>
      <c r="K10" s="66"/>
      <c r="L10" s="31"/>
      <c r="M10" s="31"/>
      <c r="N10" s="31"/>
      <c r="O10" s="31"/>
      <c r="P10" s="31"/>
      <c r="Q10" s="31"/>
      <c r="X10" s="2"/>
    </row>
    <row r="11" hidden="1">
      <c r="A11" s="27">
        <v>9.0</v>
      </c>
      <c r="B11" s="54" t="s">
        <v>79</v>
      </c>
      <c r="C11" s="54" t="s">
        <v>80</v>
      </c>
      <c r="D11" s="56"/>
      <c r="E11" s="36" t="s">
        <v>188</v>
      </c>
      <c r="F11" s="82" t="s">
        <v>222</v>
      </c>
      <c r="G11" s="57"/>
      <c r="H11" s="57"/>
      <c r="I11" s="83" t="s">
        <v>232</v>
      </c>
      <c r="J11" s="85">
        <v>46203.0</v>
      </c>
      <c r="K11" s="66" t="s">
        <v>236</v>
      </c>
      <c r="L11" s="31"/>
      <c r="M11" s="31"/>
      <c r="N11" s="31"/>
      <c r="O11" s="31"/>
      <c r="P11" s="31"/>
      <c r="Q11" s="31"/>
      <c r="X11" s="2"/>
    </row>
    <row r="12">
      <c r="A12" s="27">
        <v>10.0</v>
      </c>
      <c r="B12" s="54" t="s">
        <v>85</v>
      </c>
      <c r="C12" s="54" t="s">
        <v>86</v>
      </c>
      <c r="D12" s="56"/>
      <c r="E12" s="36" t="s">
        <v>120</v>
      </c>
      <c r="F12" s="49" t="s">
        <v>252</v>
      </c>
      <c r="G12" s="36" t="s">
        <v>83</v>
      </c>
      <c r="H12" s="31"/>
      <c r="I12" s="40">
        <v>45964.0</v>
      </c>
      <c r="J12" s="40">
        <v>46359.0</v>
      </c>
      <c r="K12" s="31"/>
      <c r="L12" s="36" t="s">
        <v>92</v>
      </c>
      <c r="M12" s="31"/>
      <c r="N12" s="31"/>
      <c r="O12" s="31"/>
      <c r="P12" s="31"/>
      <c r="Q12" s="31"/>
      <c r="X12" s="2"/>
    </row>
    <row r="13">
      <c r="A13" s="27">
        <v>11.0</v>
      </c>
      <c r="B13" s="54" t="s">
        <v>88</v>
      </c>
      <c r="C13" s="54" t="s">
        <v>246</v>
      </c>
      <c r="D13" s="56"/>
      <c r="E13" s="36" t="s">
        <v>179</v>
      </c>
      <c r="F13" s="82" t="s">
        <v>269</v>
      </c>
      <c r="G13" s="57"/>
      <c r="H13" s="31"/>
      <c r="I13" s="38">
        <v>45717.0</v>
      </c>
      <c r="J13" s="85">
        <v>46203.0</v>
      </c>
      <c r="K13" s="66" t="s">
        <v>236</v>
      </c>
      <c r="L13" s="31"/>
      <c r="M13" s="31"/>
      <c r="N13" s="31"/>
      <c r="O13" s="31"/>
      <c r="P13" s="31"/>
      <c r="Q13" s="31"/>
      <c r="X13" s="2"/>
    </row>
    <row r="14">
      <c r="A14" s="27">
        <v>12.0</v>
      </c>
      <c r="B14" s="43" t="s">
        <v>94</v>
      </c>
      <c r="C14" s="43" t="s">
        <v>258</v>
      </c>
      <c r="D14" s="56"/>
      <c r="E14" s="36" t="s">
        <v>131</v>
      </c>
      <c r="F14" s="61" t="s">
        <v>273</v>
      </c>
      <c r="G14" s="66" t="s">
        <v>274</v>
      </c>
      <c r="H14" s="31"/>
      <c r="I14" s="40">
        <v>46023.0</v>
      </c>
      <c r="J14" s="88">
        <v>46357.0</v>
      </c>
      <c r="K14" s="31"/>
      <c r="L14" s="31"/>
      <c r="M14" s="31"/>
      <c r="N14" s="36" t="s">
        <v>92</v>
      </c>
      <c r="O14" s="31"/>
      <c r="P14" s="31"/>
      <c r="Q14" s="31"/>
      <c r="X14" s="2"/>
    </row>
    <row r="15">
      <c r="A15" s="27">
        <v>13.0</v>
      </c>
      <c r="B15" s="54" t="s">
        <v>107</v>
      </c>
      <c r="C15" s="46" t="s">
        <v>276</v>
      </c>
      <c r="D15" s="56"/>
      <c r="E15" s="91" t="s">
        <v>74</v>
      </c>
      <c r="F15" s="78" t="s">
        <v>205</v>
      </c>
      <c r="G15" s="36" t="s">
        <v>291</v>
      </c>
      <c r="H15" s="31"/>
      <c r="I15" s="60" t="s">
        <v>215</v>
      </c>
      <c r="J15" s="60" t="s">
        <v>215</v>
      </c>
      <c r="K15" s="31"/>
      <c r="L15" s="36" t="s">
        <v>92</v>
      </c>
      <c r="M15" s="36" t="s">
        <v>92</v>
      </c>
      <c r="N15" s="36" t="s">
        <v>92</v>
      </c>
      <c r="O15" s="31"/>
      <c r="P15" s="31"/>
      <c r="Q15" s="31"/>
      <c r="X15" s="2"/>
    </row>
    <row r="16">
      <c r="A16" s="27">
        <v>14.0</v>
      </c>
      <c r="B16" s="43" t="s">
        <v>112</v>
      </c>
      <c r="C16" s="43" t="s">
        <v>292</v>
      </c>
      <c r="D16" s="56"/>
      <c r="E16" s="36" t="s">
        <v>120</v>
      </c>
      <c r="F16" s="49" t="s">
        <v>303</v>
      </c>
      <c r="G16" s="31"/>
      <c r="H16" s="31"/>
      <c r="I16" s="60">
        <v>46082.0</v>
      </c>
      <c r="J16" s="64">
        <v>46446.0</v>
      </c>
      <c r="K16" s="66"/>
      <c r="L16" s="31"/>
      <c r="M16" s="31"/>
      <c r="N16" s="31"/>
      <c r="O16" s="31"/>
      <c r="P16" s="31"/>
      <c r="Q16" s="31"/>
      <c r="X16" s="2"/>
    </row>
    <row r="17">
      <c r="A17" s="27">
        <v>15.0</v>
      </c>
      <c r="B17" s="43" t="s">
        <v>112</v>
      </c>
      <c r="C17" s="43" t="s">
        <v>117</v>
      </c>
      <c r="D17" s="56"/>
      <c r="E17" s="36" t="s">
        <v>120</v>
      </c>
      <c r="F17" s="49" t="s">
        <v>311</v>
      </c>
      <c r="G17" s="31"/>
      <c r="H17" s="31"/>
      <c r="I17" s="60">
        <v>46054.0</v>
      </c>
      <c r="J17" s="64">
        <v>46359.0</v>
      </c>
      <c r="K17" s="31"/>
      <c r="L17" s="31"/>
      <c r="M17" s="31"/>
      <c r="N17" s="31"/>
      <c r="O17" s="31"/>
      <c r="P17" s="31"/>
      <c r="Q17" s="31"/>
      <c r="X17" s="2"/>
    </row>
    <row r="18">
      <c r="A18" s="27">
        <v>16.0</v>
      </c>
      <c r="B18" s="43" t="s">
        <v>119</v>
      </c>
      <c r="C18" s="43" t="s">
        <v>121</v>
      </c>
      <c r="D18" s="56"/>
      <c r="E18" s="91" t="s">
        <v>74</v>
      </c>
      <c r="F18" s="44" t="s">
        <v>132</v>
      </c>
      <c r="G18" s="57"/>
      <c r="H18" s="31"/>
      <c r="I18" s="60">
        <v>46049.0</v>
      </c>
      <c r="J18" s="60">
        <v>46414.0</v>
      </c>
      <c r="K18" s="31"/>
      <c r="L18" s="36" t="s">
        <v>92</v>
      </c>
      <c r="M18" s="36" t="s">
        <v>92</v>
      </c>
      <c r="N18" s="31"/>
      <c r="O18" s="31"/>
      <c r="P18" s="31"/>
      <c r="Q18" s="31"/>
      <c r="X18" s="2"/>
    </row>
    <row r="19">
      <c r="A19" s="27">
        <v>17.0</v>
      </c>
      <c r="B19" s="43" t="s">
        <v>126</v>
      </c>
      <c r="C19" s="43" t="s">
        <v>127</v>
      </c>
      <c r="D19" s="56"/>
      <c r="E19" s="36" t="s">
        <v>131</v>
      </c>
      <c r="F19" s="78" t="s">
        <v>205</v>
      </c>
      <c r="G19" s="31"/>
      <c r="H19" s="31"/>
      <c r="I19" s="60" t="s">
        <v>215</v>
      </c>
      <c r="J19" s="60" t="s">
        <v>215</v>
      </c>
      <c r="K19" s="31"/>
      <c r="L19" s="31"/>
      <c r="M19" s="31"/>
      <c r="N19" s="31"/>
      <c r="O19" s="31"/>
      <c r="P19" s="31"/>
      <c r="Q19" s="31"/>
      <c r="X19" s="2"/>
    </row>
    <row r="20">
      <c r="A20" s="27">
        <v>18.0</v>
      </c>
      <c r="B20" s="54" t="s">
        <v>135</v>
      </c>
      <c r="C20" s="54" t="s">
        <v>136</v>
      </c>
      <c r="D20" s="56"/>
      <c r="E20" s="36" t="s">
        <v>120</v>
      </c>
      <c r="F20" s="61" t="s">
        <v>339</v>
      </c>
      <c r="G20" s="31"/>
      <c r="H20" s="31"/>
      <c r="I20" s="64">
        <v>46083.0</v>
      </c>
      <c r="J20" s="60">
        <v>46446.0</v>
      </c>
      <c r="K20" s="31"/>
      <c r="L20" s="31"/>
      <c r="M20" s="36" t="s">
        <v>92</v>
      </c>
      <c r="N20" s="31"/>
      <c r="O20" s="31"/>
      <c r="P20" s="31"/>
      <c r="Q20" s="31"/>
      <c r="X20" s="2"/>
    </row>
    <row r="21">
      <c r="A21" s="27">
        <v>19.0</v>
      </c>
      <c r="B21" s="43" t="s">
        <v>138</v>
      </c>
      <c r="C21" s="43" t="s">
        <v>139</v>
      </c>
      <c r="D21" s="56"/>
      <c r="E21" s="36" t="s">
        <v>131</v>
      </c>
      <c r="F21" s="61" t="s">
        <v>345</v>
      </c>
      <c r="G21" s="31"/>
      <c r="H21" s="31"/>
      <c r="I21" s="93" t="s">
        <v>351</v>
      </c>
      <c r="J21" s="64">
        <v>46598.0</v>
      </c>
      <c r="K21" s="66"/>
      <c r="L21" s="31"/>
      <c r="M21" s="31"/>
      <c r="N21" s="31"/>
      <c r="O21" s="31"/>
      <c r="P21" s="31"/>
      <c r="Q21" s="31"/>
      <c r="X21" s="2"/>
    </row>
    <row r="22">
      <c r="A22" s="27">
        <v>20.0</v>
      </c>
      <c r="B22" s="43" t="s">
        <v>146</v>
      </c>
      <c r="C22" s="43" t="s">
        <v>149</v>
      </c>
      <c r="D22" s="56"/>
      <c r="E22" s="36" t="s">
        <v>120</v>
      </c>
      <c r="F22" s="49" t="s">
        <v>360</v>
      </c>
      <c r="G22" s="57"/>
      <c r="H22" s="57"/>
      <c r="I22" s="64">
        <v>46235.0</v>
      </c>
      <c r="J22" s="64">
        <v>46598.0</v>
      </c>
      <c r="K22" s="66"/>
      <c r="L22" s="31"/>
      <c r="M22" s="31"/>
      <c r="N22" s="31"/>
      <c r="O22" s="31"/>
      <c r="P22" s="31"/>
      <c r="Q22" s="31"/>
      <c r="X22" s="2"/>
    </row>
    <row r="23">
      <c r="A23" s="27">
        <v>21.0</v>
      </c>
      <c r="B23" s="54" t="s">
        <v>153</v>
      </c>
      <c r="C23" s="54" t="s">
        <v>154</v>
      </c>
      <c r="D23" s="56"/>
      <c r="E23" s="36" t="s">
        <v>131</v>
      </c>
      <c r="F23" s="48" t="s">
        <v>178</v>
      </c>
      <c r="G23" s="36" t="s">
        <v>179</v>
      </c>
      <c r="H23" s="31"/>
      <c r="I23" s="64">
        <v>44866.0</v>
      </c>
      <c r="J23" s="60">
        <v>46446.0</v>
      </c>
      <c r="K23" s="31"/>
      <c r="L23" s="36" t="s">
        <v>92</v>
      </c>
      <c r="M23" s="36" t="s">
        <v>92</v>
      </c>
      <c r="N23" s="36" t="s">
        <v>92</v>
      </c>
      <c r="O23" s="31"/>
      <c r="P23" s="31"/>
      <c r="Q23" s="31"/>
      <c r="X23" s="2"/>
    </row>
    <row r="24">
      <c r="A24" s="27">
        <v>22.0</v>
      </c>
      <c r="B24" s="54" t="s">
        <v>162</v>
      </c>
      <c r="C24" s="54" t="s">
        <v>163</v>
      </c>
      <c r="D24" s="56"/>
      <c r="E24" s="36" t="s">
        <v>120</v>
      </c>
      <c r="F24" s="49" t="s">
        <v>377</v>
      </c>
      <c r="G24" s="36" t="s">
        <v>83</v>
      </c>
      <c r="H24" s="31"/>
      <c r="I24" s="60">
        <v>46054.0</v>
      </c>
      <c r="J24" s="60">
        <v>46419.0</v>
      </c>
      <c r="K24" s="31"/>
      <c r="L24" s="36" t="s">
        <v>92</v>
      </c>
      <c r="M24" s="31"/>
      <c r="N24" s="36" t="s">
        <v>92</v>
      </c>
      <c r="O24" s="31"/>
      <c r="P24" s="31"/>
      <c r="Q24" s="31"/>
      <c r="X24" s="2"/>
    </row>
    <row r="25">
      <c r="A25" s="27">
        <v>23.0</v>
      </c>
      <c r="B25" s="54" t="s">
        <v>165</v>
      </c>
      <c r="C25" s="54" t="s">
        <v>166</v>
      </c>
      <c r="D25" s="56"/>
      <c r="E25" s="36" t="s">
        <v>383</v>
      </c>
      <c r="F25" s="36" t="s">
        <v>178</v>
      </c>
      <c r="G25" s="36" t="s">
        <v>179</v>
      </c>
      <c r="H25" s="31"/>
      <c r="I25" s="64">
        <v>44866.0</v>
      </c>
      <c r="J25" s="60">
        <v>46446.0</v>
      </c>
      <c r="K25" s="31"/>
      <c r="L25" s="36" t="s">
        <v>92</v>
      </c>
      <c r="M25" s="36" t="s">
        <v>92</v>
      </c>
      <c r="N25" s="36" t="s">
        <v>92</v>
      </c>
      <c r="O25" s="31"/>
      <c r="P25" s="31"/>
      <c r="Q25" s="31"/>
      <c r="X25" s="2"/>
    </row>
    <row r="26">
      <c r="A26" s="27">
        <v>24.0</v>
      </c>
      <c r="B26" s="43" t="s">
        <v>175</v>
      </c>
      <c r="C26" s="43" t="s">
        <v>80</v>
      </c>
      <c r="D26" s="56"/>
      <c r="E26" s="91" t="s">
        <v>74</v>
      </c>
      <c r="F26" s="82" t="s">
        <v>106</v>
      </c>
      <c r="G26" s="57"/>
      <c r="H26" s="31"/>
      <c r="I26" s="60">
        <v>44927.0</v>
      </c>
      <c r="J26" s="85">
        <v>46203.0</v>
      </c>
      <c r="K26" s="66" t="s">
        <v>236</v>
      </c>
      <c r="L26" s="31"/>
      <c r="M26" s="31"/>
      <c r="N26" s="31"/>
      <c r="O26" s="31"/>
      <c r="P26" s="31"/>
      <c r="Q26" s="31"/>
      <c r="X26" s="2"/>
    </row>
    <row r="27">
      <c r="A27" s="27">
        <v>25.0</v>
      </c>
      <c r="B27" s="46" t="s">
        <v>180</v>
      </c>
      <c r="C27" s="46" t="s">
        <v>181</v>
      </c>
      <c r="D27" s="56"/>
      <c r="E27" s="36" t="s">
        <v>120</v>
      </c>
      <c r="F27" s="82" t="s">
        <v>389</v>
      </c>
      <c r="G27" s="57"/>
      <c r="H27" s="31"/>
      <c r="I27" s="60">
        <v>46160.0</v>
      </c>
      <c r="J27" s="60">
        <v>46525.0</v>
      </c>
      <c r="K27" s="31"/>
      <c r="L27" s="31"/>
      <c r="M27" s="31"/>
      <c r="N27" s="31"/>
      <c r="O27" s="31"/>
      <c r="P27" s="31"/>
      <c r="Q27" s="31"/>
      <c r="X27" s="2"/>
    </row>
    <row r="28">
      <c r="A28" s="27">
        <v>26.0</v>
      </c>
      <c r="B28" s="54" t="s">
        <v>184</v>
      </c>
      <c r="C28" s="54" t="s">
        <v>185</v>
      </c>
      <c r="D28" s="56"/>
      <c r="E28" s="91" t="s">
        <v>74</v>
      </c>
      <c r="F28" s="36" t="s">
        <v>178</v>
      </c>
      <c r="G28" s="36" t="s">
        <v>179</v>
      </c>
      <c r="H28" s="31"/>
      <c r="I28" s="64">
        <v>44866.0</v>
      </c>
      <c r="J28" s="60">
        <v>46446.0</v>
      </c>
      <c r="K28" s="31"/>
      <c r="L28" s="36" t="s">
        <v>92</v>
      </c>
      <c r="M28" s="36" t="s">
        <v>92</v>
      </c>
      <c r="N28" s="36" t="s">
        <v>92</v>
      </c>
      <c r="O28" s="31"/>
      <c r="P28" s="31"/>
      <c r="Q28" s="31"/>
      <c r="X28" s="2"/>
    </row>
    <row r="29">
      <c r="A29" s="27">
        <v>27.0</v>
      </c>
      <c r="B29" s="54" t="s">
        <v>193</v>
      </c>
      <c r="C29" s="54" t="s">
        <v>194</v>
      </c>
      <c r="D29" s="56"/>
      <c r="E29" s="36" t="s">
        <v>131</v>
      </c>
      <c r="F29" s="82" t="s">
        <v>393</v>
      </c>
      <c r="G29" s="57"/>
      <c r="H29" s="31"/>
      <c r="I29" s="60">
        <v>45658.0</v>
      </c>
      <c r="J29" s="94">
        <v>46357.0</v>
      </c>
      <c r="K29" s="31"/>
      <c r="L29" s="31"/>
      <c r="M29" s="31"/>
      <c r="N29" s="31"/>
      <c r="O29" s="31"/>
      <c r="P29" s="31"/>
      <c r="Q29" s="31"/>
      <c r="X29" s="2"/>
    </row>
    <row r="30">
      <c r="A30" s="27">
        <v>28.0</v>
      </c>
      <c r="B30" s="54" t="s">
        <v>199</v>
      </c>
      <c r="C30" s="54" t="s">
        <v>200</v>
      </c>
      <c r="D30" s="56"/>
      <c r="E30" s="36" t="s">
        <v>120</v>
      </c>
      <c r="F30" s="78" t="s">
        <v>205</v>
      </c>
      <c r="G30" s="57"/>
      <c r="H30" s="31"/>
      <c r="I30" s="60" t="s">
        <v>215</v>
      </c>
      <c r="J30" s="60" t="s">
        <v>215</v>
      </c>
      <c r="K30" s="31"/>
      <c r="L30" s="36" t="s">
        <v>92</v>
      </c>
      <c r="M30" s="31"/>
      <c r="N30" s="31"/>
      <c r="O30" s="36" t="s">
        <v>92</v>
      </c>
      <c r="P30" s="31"/>
      <c r="Q30" s="31"/>
      <c r="X30" s="2"/>
    </row>
    <row r="31">
      <c r="A31" s="27">
        <v>29.0</v>
      </c>
      <c r="B31" s="46" t="s">
        <v>206</v>
      </c>
      <c r="C31" s="46" t="s">
        <v>397</v>
      </c>
      <c r="D31" s="56"/>
      <c r="E31" s="36" t="s">
        <v>120</v>
      </c>
      <c r="F31" s="46" t="s">
        <v>399</v>
      </c>
      <c r="G31" s="57"/>
      <c r="H31" s="57"/>
      <c r="I31" s="60">
        <v>46160.0</v>
      </c>
      <c r="J31" s="60">
        <v>46525.0</v>
      </c>
      <c r="K31" s="31"/>
      <c r="L31" s="31"/>
      <c r="M31" s="31"/>
      <c r="N31" s="31"/>
      <c r="O31" s="31"/>
      <c r="P31" s="31"/>
      <c r="Q31" s="31"/>
      <c r="X31" s="2"/>
    </row>
    <row r="32">
      <c r="A32" s="27">
        <v>30.0</v>
      </c>
      <c r="B32" s="36" t="s">
        <v>210</v>
      </c>
      <c r="C32" s="36" t="s">
        <v>211</v>
      </c>
      <c r="D32" s="56"/>
      <c r="E32" s="36" t="s">
        <v>188</v>
      </c>
      <c r="F32" s="96" t="s">
        <v>405</v>
      </c>
      <c r="G32" s="31"/>
      <c r="H32" s="31"/>
      <c r="I32" s="64">
        <v>46235.0</v>
      </c>
      <c r="J32" s="64">
        <v>46371.0</v>
      </c>
      <c r="K32" s="31"/>
      <c r="L32" s="36" t="s">
        <v>92</v>
      </c>
      <c r="M32" s="36" t="s">
        <v>4</v>
      </c>
      <c r="N32" s="36" t="s">
        <v>92</v>
      </c>
      <c r="O32" s="36" t="s">
        <v>92</v>
      </c>
      <c r="P32" s="31"/>
      <c r="Q32" s="31"/>
      <c r="X32" s="2"/>
    </row>
    <row r="33">
      <c r="A33" s="27">
        <v>31.0</v>
      </c>
      <c r="B33" s="43" t="s">
        <v>219</v>
      </c>
      <c r="C33" s="43" t="s">
        <v>415</v>
      </c>
      <c r="D33" s="56"/>
      <c r="E33" s="36" t="s">
        <v>188</v>
      </c>
      <c r="F33" s="49" t="s">
        <v>416</v>
      </c>
      <c r="G33" s="31"/>
      <c r="H33" s="31"/>
      <c r="I33" s="60">
        <v>46049.0</v>
      </c>
      <c r="J33" s="60">
        <v>46414.0</v>
      </c>
      <c r="K33" s="31"/>
      <c r="L33" s="36" t="s">
        <v>92</v>
      </c>
      <c r="M33" s="36" t="s">
        <v>92</v>
      </c>
      <c r="N33" s="36" t="s">
        <v>92</v>
      </c>
      <c r="O33" s="36" t="s">
        <v>92</v>
      </c>
      <c r="P33" s="31"/>
      <c r="Q33" s="31"/>
      <c r="X33" s="2"/>
    </row>
    <row r="34">
      <c r="A34" s="27">
        <v>32.0</v>
      </c>
      <c r="B34" s="43" t="s">
        <v>219</v>
      </c>
      <c r="C34" s="43" t="s">
        <v>225</v>
      </c>
      <c r="D34" s="45" t="s">
        <v>99</v>
      </c>
      <c r="E34" s="82" t="s">
        <v>101</v>
      </c>
      <c r="F34" s="49" t="s">
        <v>420</v>
      </c>
      <c r="G34" s="51"/>
      <c r="H34" s="31"/>
      <c r="I34" s="98">
        <v>46062.0</v>
      </c>
      <c r="J34" s="60">
        <v>46418.0</v>
      </c>
      <c r="K34" s="31"/>
      <c r="L34" s="31"/>
      <c r="M34" s="31"/>
      <c r="N34" s="31"/>
      <c r="O34" s="31"/>
      <c r="P34" s="31"/>
      <c r="Q34" s="31"/>
      <c r="X34" s="2"/>
    </row>
    <row r="35">
      <c r="A35" s="27">
        <v>33.0</v>
      </c>
      <c r="B35" s="99" t="s">
        <v>233</v>
      </c>
      <c r="C35" s="99" t="s">
        <v>234</v>
      </c>
      <c r="D35" s="56"/>
      <c r="E35" s="91" t="s">
        <v>74</v>
      </c>
      <c r="F35" s="14" t="s">
        <v>427</v>
      </c>
      <c r="G35" s="31"/>
      <c r="H35" s="100"/>
      <c r="I35" s="64">
        <v>46235.0</v>
      </c>
      <c r="J35" s="64">
        <v>46371.0</v>
      </c>
      <c r="K35" s="31"/>
      <c r="L35" s="36" t="s">
        <v>92</v>
      </c>
      <c r="M35" s="31"/>
      <c r="N35" s="31"/>
      <c r="O35" s="31"/>
      <c r="P35" s="31"/>
      <c r="Q35" s="31"/>
      <c r="X35" s="2"/>
    </row>
    <row r="36">
      <c r="A36" s="27">
        <v>34.0</v>
      </c>
      <c r="B36" s="102" t="s">
        <v>243</v>
      </c>
      <c r="C36" s="102" t="s">
        <v>244</v>
      </c>
      <c r="D36" s="56"/>
      <c r="E36" s="36" t="s">
        <v>120</v>
      </c>
      <c r="F36" s="82" t="s">
        <v>433</v>
      </c>
      <c r="G36" s="36" t="s">
        <v>434</v>
      </c>
      <c r="H36" s="31"/>
      <c r="I36" s="60">
        <v>46113.0</v>
      </c>
      <c r="J36" s="60">
        <v>46447.0</v>
      </c>
      <c r="K36" s="31"/>
      <c r="L36" s="31"/>
      <c r="M36" s="31"/>
      <c r="N36" s="31"/>
      <c r="O36" s="31"/>
      <c r="P36" s="31"/>
      <c r="Q36" s="31"/>
      <c r="X36" s="2"/>
    </row>
    <row r="37">
      <c r="A37" s="27">
        <v>35.0</v>
      </c>
      <c r="B37" s="43" t="s">
        <v>435</v>
      </c>
      <c r="C37" s="43" t="s">
        <v>255</v>
      </c>
      <c r="D37" s="45" t="s">
        <v>99</v>
      </c>
      <c r="E37" s="36" t="s">
        <v>437</v>
      </c>
      <c r="F37" s="57" t="s">
        <v>438</v>
      </c>
      <c r="G37" s="106" t="s">
        <v>439</v>
      </c>
      <c r="H37" s="31"/>
      <c r="I37" s="98">
        <v>46023.0</v>
      </c>
      <c r="J37" s="85">
        <v>46203.0</v>
      </c>
      <c r="K37" s="66" t="s">
        <v>236</v>
      </c>
      <c r="L37" s="31"/>
      <c r="M37" s="31"/>
      <c r="N37" s="31"/>
      <c r="O37" s="31"/>
      <c r="P37" s="31"/>
      <c r="Q37" s="31"/>
      <c r="X37" s="2"/>
    </row>
    <row r="38">
      <c r="A38" s="27">
        <v>36.0</v>
      </c>
      <c r="B38" s="46" t="s">
        <v>261</v>
      </c>
      <c r="C38" s="46" t="s">
        <v>444</v>
      </c>
      <c r="D38" s="56"/>
      <c r="E38" s="36" t="s">
        <v>131</v>
      </c>
      <c r="F38" s="107" t="s">
        <v>78</v>
      </c>
      <c r="G38" s="66" t="s">
        <v>446</v>
      </c>
      <c r="H38" s="31"/>
      <c r="I38" s="108">
        <v>46600.0</v>
      </c>
      <c r="J38" s="64">
        <v>46598.0</v>
      </c>
      <c r="K38" s="66"/>
      <c r="L38" s="31"/>
      <c r="M38" s="31"/>
      <c r="N38" s="31"/>
      <c r="O38" s="31"/>
      <c r="P38" s="31"/>
      <c r="Q38" s="31"/>
      <c r="X38" s="2"/>
    </row>
    <row r="39">
      <c r="A39" s="27">
        <v>37.0</v>
      </c>
      <c r="B39" s="46" t="s">
        <v>270</v>
      </c>
      <c r="C39" s="46" t="s">
        <v>271</v>
      </c>
      <c r="D39" s="56"/>
      <c r="E39" s="36" t="s">
        <v>131</v>
      </c>
      <c r="F39" s="82" t="s">
        <v>451</v>
      </c>
      <c r="G39" s="57"/>
      <c r="H39" s="31"/>
      <c r="I39" s="64">
        <v>46235.0</v>
      </c>
      <c r="J39" s="64">
        <v>46598.0</v>
      </c>
      <c r="K39" s="66"/>
      <c r="L39" s="31"/>
      <c r="M39" s="31"/>
      <c r="N39" s="31"/>
      <c r="O39" s="31"/>
      <c r="P39" s="31"/>
      <c r="Q39" s="31"/>
      <c r="X39" s="2"/>
    </row>
    <row r="40">
      <c r="A40" s="27">
        <v>38.0</v>
      </c>
      <c r="B40" s="54" t="s">
        <v>275</v>
      </c>
      <c r="C40" s="54" t="s">
        <v>277</v>
      </c>
      <c r="D40" s="56"/>
      <c r="E40" s="36" t="s">
        <v>188</v>
      </c>
      <c r="F40" s="36" t="s">
        <v>178</v>
      </c>
      <c r="G40" s="36" t="s">
        <v>179</v>
      </c>
      <c r="H40" s="31"/>
      <c r="I40" s="60" t="s">
        <v>183</v>
      </c>
      <c r="J40" s="60">
        <v>46446.0</v>
      </c>
      <c r="K40" s="31"/>
      <c r="L40" s="36" t="s">
        <v>92</v>
      </c>
      <c r="M40" s="36" t="s">
        <v>92</v>
      </c>
      <c r="N40" s="36" t="s">
        <v>92</v>
      </c>
      <c r="O40" s="31"/>
      <c r="P40" s="31"/>
      <c r="Q40" s="31"/>
      <c r="X40" s="2"/>
    </row>
    <row r="41">
      <c r="A41" s="27">
        <v>39.0</v>
      </c>
      <c r="B41" s="43" t="s">
        <v>281</v>
      </c>
      <c r="C41" s="43" t="s">
        <v>282</v>
      </c>
      <c r="D41" s="56"/>
      <c r="E41" s="36" t="s">
        <v>120</v>
      </c>
      <c r="F41" s="49" t="s">
        <v>460</v>
      </c>
      <c r="G41" s="31"/>
      <c r="H41" s="31"/>
      <c r="I41" s="60">
        <v>45809.0</v>
      </c>
      <c r="J41" s="60">
        <v>46446.0</v>
      </c>
      <c r="K41" s="31"/>
      <c r="L41" s="31"/>
      <c r="M41" s="31"/>
      <c r="N41" s="31"/>
      <c r="O41" s="31"/>
      <c r="P41" s="31"/>
      <c r="Q41" s="31"/>
      <c r="X41" s="2"/>
    </row>
    <row r="42">
      <c r="A42" s="27">
        <v>40.0</v>
      </c>
      <c r="B42" s="46" t="s">
        <v>289</v>
      </c>
      <c r="C42" s="46" t="s">
        <v>246</v>
      </c>
      <c r="D42" s="56"/>
      <c r="E42" s="36" t="s">
        <v>131</v>
      </c>
      <c r="F42" s="49" t="s">
        <v>433</v>
      </c>
      <c r="G42" s="36" t="s">
        <v>434</v>
      </c>
      <c r="H42" s="31"/>
      <c r="I42" s="60">
        <v>46113.0</v>
      </c>
      <c r="J42" s="60">
        <v>46447.0</v>
      </c>
      <c r="K42" s="31"/>
      <c r="L42" s="31"/>
      <c r="M42" s="31"/>
      <c r="N42" s="31"/>
      <c r="O42" s="31"/>
      <c r="P42" s="31"/>
      <c r="Q42" s="31"/>
      <c r="X42" s="2"/>
    </row>
    <row r="43">
      <c r="A43" s="27">
        <v>41.0</v>
      </c>
      <c r="B43" s="46" t="s">
        <v>294</v>
      </c>
      <c r="C43" s="46" t="s">
        <v>295</v>
      </c>
      <c r="D43" s="56"/>
      <c r="E43" s="36" t="s">
        <v>120</v>
      </c>
      <c r="F43" s="78" t="s">
        <v>205</v>
      </c>
      <c r="G43" s="31"/>
      <c r="H43" s="31"/>
      <c r="I43" s="111" t="s">
        <v>215</v>
      </c>
      <c r="J43" s="111" t="s">
        <v>215</v>
      </c>
      <c r="K43" s="31"/>
      <c r="L43" s="31"/>
      <c r="M43" s="31"/>
      <c r="N43" s="31"/>
      <c r="O43" s="31"/>
      <c r="P43" s="31"/>
      <c r="Q43" s="31"/>
      <c r="X43" s="2"/>
    </row>
    <row r="44">
      <c r="A44" s="27">
        <v>42.0</v>
      </c>
      <c r="B44" s="36" t="s">
        <v>304</v>
      </c>
      <c r="C44" s="36" t="s">
        <v>305</v>
      </c>
      <c r="D44" s="56"/>
      <c r="E44" s="36" t="s">
        <v>120</v>
      </c>
      <c r="F44" s="49" t="s">
        <v>476</v>
      </c>
      <c r="G44" s="36" t="s">
        <v>83</v>
      </c>
      <c r="H44" s="31"/>
      <c r="I44" s="60">
        <v>46054.0</v>
      </c>
      <c r="J44" s="60">
        <v>46446.0</v>
      </c>
      <c r="K44" s="31"/>
      <c r="L44" s="36" t="s">
        <v>92</v>
      </c>
      <c r="M44" s="36" t="s">
        <v>92</v>
      </c>
      <c r="N44" s="36" t="s">
        <v>92</v>
      </c>
      <c r="O44" s="31"/>
      <c r="P44" s="31"/>
      <c r="Q44" s="31"/>
      <c r="X44" s="2"/>
    </row>
    <row r="45">
      <c r="A45" s="27">
        <v>43.0</v>
      </c>
      <c r="B45" s="46" t="s">
        <v>313</v>
      </c>
      <c r="C45" s="46" t="s">
        <v>315</v>
      </c>
      <c r="D45" s="45" t="s">
        <v>99</v>
      </c>
      <c r="E45" s="82" t="s">
        <v>482</v>
      </c>
      <c r="F45" s="49" t="s">
        <v>483</v>
      </c>
      <c r="G45" s="51"/>
      <c r="H45" s="31"/>
      <c r="I45" s="98">
        <v>45839.0</v>
      </c>
      <c r="J45" s="85">
        <v>46203.0</v>
      </c>
      <c r="K45" s="66" t="s">
        <v>236</v>
      </c>
      <c r="L45" s="31"/>
      <c r="M45" s="31"/>
      <c r="N45" s="31"/>
      <c r="O45" s="31"/>
      <c r="P45" s="31"/>
      <c r="Q45" s="31"/>
      <c r="X45" s="2"/>
    </row>
    <row r="46">
      <c r="A46" s="27">
        <v>44.0</v>
      </c>
      <c r="B46" s="46" t="s">
        <v>320</v>
      </c>
      <c r="C46" s="46" t="s">
        <v>321</v>
      </c>
      <c r="D46" s="56"/>
      <c r="E46" s="36" t="s">
        <v>131</v>
      </c>
      <c r="F46" s="78" t="s">
        <v>205</v>
      </c>
      <c r="G46" s="36" t="s">
        <v>291</v>
      </c>
      <c r="H46" s="31"/>
      <c r="I46" s="60" t="s">
        <v>215</v>
      </c>
      <c r="J46" s="60" t="s">
        <v>215</v>
      </c>
      <c r="K46" s="31"/>
      <c r="L46" s="36" t="s">
        <v>92</v>
      </c>
      <c r="M46" s="36" t="s">
        <v>92</v>
      </c>
      <c r="N46" s="36" t="s">
        <v>92</v>
      </c>
      <c r="O46" s="31"/>
      <c r="P46" s="31"/>
      <c r="Q46" s="31"/>
      <c r="X46" s="2"/>
    </row>
    <row r="47" hidden="1">
      <c r="A47" s="27">
        <v>45.0</v>
      </c>
      <c r="B47" s="46" t="s">
        <v>328</v>
      </c>
      <c r="C47" s="46" t="s">
        <v>321</v>
      </c>
      <c r="D47" s="56"/>
      <c r="E47" s="36" t="s">
        <v>131</v>
      </c>
      <c r="F47" s="78" t="s">
        <v>205</v>
      </c>
      <c r="G47" s="31"/>
      <c r="H47" s="31"/>
      <c r="I47" s="60" t="s">
        <v>215</v>
      </c>
      <c r="J47" s="60" t="s">
        <v>215</v>
      </c>
      <c r="K47" s="31"/>
      <c r="L47" s="31"/>
      <c r="M47" s="31"/>
      <c r="N47" s="31"/>
      <c r="O47" s="31"/>
      <c r="P47" s="31"/>
      <c r="Q47" s="31"/>
      <c r="X47" s="2"/>
    </row>
    <row r="48" hidden="1">
      <c r="A48" s="27">
        <v>46.0</v>
      </c>
      <c r="B48" s="46" t="s">
        <v>337</v>
      </c>
      <c r="C48" s="46" t="s">
        <v>488</v>
      </c>
      <c r="D48" s="56"/>
      <c r="E48" s="36" t="s">
        <v>131</v>
      </c>
      <c r="F48" s="49" t="s">
        <v>489</v>
      </c>
      <c r="G48" s="31"/>
      <c r="H48" s="31"/>
      <c r="I48" s="60">
        <v>45505.0</v>
      </c>
      <c r="J48" s="85">
        <v>46203.0</v>
      </c>
      <c r="K48" s="66" t="s">
        <v>236</v>
      </c>
      <c r="L48" s="31"/>
      <c r="M48" s="31"/>
      <c r="N48" s="31"/>
      <c r="O48" s="31"/>
      <c r="P48" s="31"/>
      <c r="Q48" s="31"/>
      <c r="X48" s="2"/>
    </row>
    <row r="49">
      <c r="A49" s="27">
        <v>47.0</v>
      </c>
      <c r="B49" s="46" t="s">
        <v>343</v>
      </c>
      <c r="C49" s="46" t="s">
        <v>166</v>
      </c>
      <c r="D49" s="45" t="s">
        <v>99</v>
      </c>
      <c r="E49" s="36" t="s">
        <v>491</v>
      </c>
      <c r="F49" s="49" t="s">
        <v>492</v>
      </c>
      <c r="G49" s="31"/>
      <c r="H49" s="31"/>
      <c r="I49" s="60">
        <v>46181.0</v>
      </c>
      <c r="J49" s="60">
        <v>46206.0</v>
      </c>
      <c r="K49" s="31"/>
      <c r="L49" s="31"/>
      <c r="M49" s="31"/>
      <c r="N49" s="31"/>
      <c r="O49" s="31"/>
      <c r="P49" s="31"/>
      <c r="Q49" s="31"/>
      <c r="X49" s="2"/>
    </row>
    <row r="50">
      <c r="A50" s="27">
        <v>48.0</v>
      </c>
      <c r="B50" s="46" t="s">
        <v>352</v>
      </c>
      <c r="C50" s="46" t="s">
        <v>353</v>
      </c>
      <c r="D50" s="56"/>
      <c r="E50" s="36" t="s">
        <v>131</v>
      </c>
      <c r="F50" s="49" t="s">
        <v>499</v>
      </c>
      <c r="G50" s="31"/>
      <c r="H50" s="31"/>
      <c r="I50" s="60">
        <v>45839.0</v>
      </c>
      <c r="J50" s="85">
        <v>46203.0</v>
      </c>
      <c r="K50" s="66" t="s">
        <v>236</v>
      </c>
      <c r="L50" s="31"/>
      <c r="M50" s="31"/>
      <c r="N50" s="31"/>
      <c r="O50" s="31"/>
      <c r="P50" s="31"/>
      <c r="Q50" s="31"/>
      <c r="X50" s="2"/>
    </row>
    <row r="51">
      <c r="A51" s="27">
        <v>49.0</v>
      </c>
      <c r="B51" s="36" t="s">
        <v>363</v>
      </c>
      <c r="C51" s="36" t="s">
        <v>364</v>
      </c>
      <c r="D51" s="56"/>
      <c r="E51" s="91" t="s">
        <v>74</v>
      </c>
      <c r="F51" s="36" t="s">
        <v>505</v>
      </c>
      <c r="G51" s="31"/>
      <c r="H51" s="31"/>
      <c r="I51" s="60">
        <v>46049.0</v>
      </c>
      <c r="J51" s="60">
        <v>46414.0</v>
      </c>
      <c r="K51" s="31"/>
      <c r="L51" s="36" t="s">
        <v>92</v>
      </c>
      <c r="M51" s="31"/>
      <c r="N51" s="36" t="s">
        <v>92</v>
      </c>
      <c r="O51" s="31"/>
      <c r="P51" s="31"/>
      <c r="Q51" s="31"/>
      <c r="X51" s="2"/>
    </row>
    <row r="52">
      <c r="A52" s="27">
        <v>50.0</v>
      </c>
      <c r="B52" s="46" t="s">
        <v>372</v>
      </c>
      <c r="C52" s="46" t="s">
        <v>373</v>
      </c>
      <c r="D52" s="56"/>
      <c r="E52" s="36" t="s">
        <v>131</v>
      </c>
      <c r="F52" s="49" t="s">
        <v>512</v>
      </c>
      <c r="G52" s="31"/>
      <c r="H52" s="31"/>
      <c r="I52" s="60">
        <v>45901.0</v>
      </c>
      <c r="J52" s="60">
        <v>46266.0</v>
      </c>
      <c r="K52" s="31"/>
      <c r="L52" s="31"/>
      <c r="M52" s="31"/>
      <c r="N52" s="31"/>
      <c r="O52" s="31"/>
      <c r="P52" s="31"/>
      <c r="Q52" s="31"/>
      <c r="X52" s="2"/>
    </row>
    <row r="53">
      <c r="A53" s="27">
        <v>51.0</v>
      </c>
      <c r="B53" s="46" t="s">
        <v>378</v>
      </c>
      <c r="C53" s="46" t="s">
        <v>380</v>
      </c>
      <c r="D53" s="56"/>
      <c r="E53" s="46" t="s">
        <v>515</v>
      </c>
      <c r="F53" s="96" t="s">
        <v>399</v>
      </c>
      <c r="G53" s="51"/>
      <c r="H53" s="36" t="s">
        <v>519</v>
      </c>
      <c r="I53" s="123">
        <v>46266.0</v>
      </c>
      <c r="J53" s="64">
        <v>46630.0</v>
      </c>
      <c r="K53" s="31"/>
      <c r="L53" s="31"/>
      <c r="M53" s="31"/>
      <c r="N53" s="31"/>
      <c r="O53" s="31"/>
      <c r="P53" s="31"/>
      <c r="Q53" s="57"/>
      <c r="X53" s="2"/>
    </row>
    <row r="54">
      <c r="A54" s="27">
        <v>52.0</v>
      </c>
      <c r="B54" s="46" t="s">
        <v>382</v>
      </c>
      <c r="C54" s="46" t="s">
        <v>527</v>
      </c>
      <c r="D54" s="124"/>
      <c r="E54" s="36" t="s">
        <v>131</v>
      </c>
      <c r="F54" s="36" t="s">
        <v>531</v>
      </c>
      <c r="G54" s="31"/>
      <c r="H54" s="31"/>
      <c r="I54" s="125">
        <v>45901.0</v>
      </c>
      <c r="J54" s="85">
        <v>46203.0</v>
      </c>
      <c r="K54" s="66" t="s">
        <v>236</v>
      </c>
      <c r="L54" s="31"/>
      <c r="M54" s="31"/>
      <c r="N54" s="31"/>
      <c r="O54" s="31"/>
      <c r="P54" s="31"/>
      <c r="Q54" s="57"/>
      <c r="X54" s="2"/>
    </row>
    <row r="55">
      <c r="A55" s="27">
        <v>53.0</v>
      </c>
      <c r="B55" s="29" t="s">
        <v>386</v>
      </c>
      <c r="C55" s="29" t="s">
        <v>387</v>
      </c>
      <c r="D55" s="56"/>
      <c r="E55" s="36" t="s">
        <v>120</v>
      </c>
      <c r="F55" s="49" t="s">
        <v>538</v>
      </c>
      <c r="G55" s="31"/>
      <c r="H55" s="31"/>
      <c r="I55" s="60">
        <v>46082.0</v>
      </c>
      <c r="J55" s="60">
        <v>46357.0</v>
      </c>
      <c r="K55" s="31"/>
      <c r="L55" s="36" t="s">
        <v>92</v>
      </c>
      <c r="M55" s="36" t="s">
        <v>92</v>
      </c>
      <c r="N55" s="36" t="s">
        <v>92</v>
      </c>
      <c r="O55" s="36" t="s">
        <v>92</v>
      </c>
      <c r="P55" s="31"/>
      <c r="Q55" s="31"/>
      <c r="X55" s="2"/>
    </row>
    <row r="56">
      <c r="A56" s="27">
        <v>54.0</v>
      </c>
      <c r="B56" s="46" t="s">
        <v>390</v>
      </c>
      <c r="C56" s="46" t="s">
        <v>391</v>
      </c>
      <c r="D56" s="31"/>
      <c r="E56" s="36" t="s">
        <v>120</v>
      </c>
      <c r="F56" s="78" t="s">
        <v>205</v>
      </c>
      <c r="G56" s="91" t="s">
        <v>4</v>
      </c>
      <c r="H56" s="91" t="s">
        <v>4</v>
      </c>
      <c r="I56" s="111" t="s">
        <v>215</v>
      </c>
      <c r="J56" s="111" t="s">
        <v>215</v>
      </c>
      <c r="K56" s="31"/>
      <c r="L56" s="31"/>
      <c r="M56" s="31"/>
      <c r="N56" s="31"/>
      <c r="O56" s="31"/>
      <c r="P56" s="31"/>
      <c r="Q56" s="31"/>
      <c r="X56" s="2"/>
    </row>
    <row r="57">
      <c r="A57" s="2"/>
      <c r="B57" s="126"/>
      <c r="C57" s="126"/>
      <c r="D57" s="128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X57" s="2"/>
    </row>
    <row r="58">
      <c r="A58" s="2"/>
      <c r="B58" s="129"/>
      <c r="C58" s="126"/>
      <c r="D58" s="12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X58" s="2"/>
    </row>
    <row r="59">
      <c r="A59" s="2"/>
      <c r="B59" s="126"/>
      <c r="C59" s="126"/>
      <c r="D59" s="128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126"/>
      <c r="C60" s="126"/>
      <c r="D60" s="12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126"/>
      <c r="C61" s="126"/>
      <c r="D61" s="128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126"/>
      <c r="C62" s="126"/>
      <c r="D62" s="13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126"/>
      <c r="C63" s="126"/>
      <c r="D63" s="13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126"/>
      <c r="C64" s="126"/>
      <c r="D64" s="13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3.75"/>
    <col customWidth="1" min="3" max="3" width="11.38"/>
    <col customWidth="1" min="4" max="4" width="12.5"/>
    <col customWidth="1" min="5" max="5" width="12.63"/>
    <col customWidth="1" min="6" max="6" width="14.25"/>
    <col customWidth="1" min="7" max="7" width="14.75"/>
    <col customWidth="1" min="8" max="8" width="14.63"/>
    <col customWidth="1" min="9" max="9" width="14.13"/>
    <col customWidth="1" min="10" max="10" width="14.0"/>
  </cols>
  <sheetData>
    <row r="1" ht="36.0" customHeight="1">
      <c r="A1" s="3" t="s">
        <v>1</v>
      </c>
      <c r="B1" s="3" t="s">
        <v>7</v>
      </c>
      <c r="C1" s="6" t="s">
        <v>8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16</v>
      </c>
      <c r="J1" s="6" t="s">
        <v>17</v>
      </c>
      <c r="K1" s="10" t="s">
        <v>19</v>
      </c>
      <c r="L1" s="12" t="s">
        <v>24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17" t="s">
        <v>20</v>
      </c>
      <c r="B2" s="17" t="s">
        <v>37</v>
      </c>
      <c r="C2" s="30">
        <f t="array" ref="C2:C54">INDEX('August 17-20'!AD4:AD56,0)</f>
        <v>0</v>
      </c>
      <c r="D2" s="30">
        <f t="array" ref="D2:D54">INDEX('August 24-27'!AE4:AE56,0)</f>
        <v>0</v>
      </c>
      <c r="E2" s="30">
        <f t="array" ref="E2:E54">INDEX('August 31-03'!AD4:AD56,0)</f>
        <v>0</v>
      </c>
      <c r="F2" s="42">
        <f t="array" ref="F2:F54">INDEX('September 07-10'!AD4:AD56,0)</f>
        <v>1</v>
      </c>
      <c r="G2" s="30">
        <f t="array" ref="G2:G54">INDEX('September 14-17'!AD4:AD56,0)</f>
        <v>0</v>
      </c>
      <c r="H2" s="30">
        <f t="array" ref="H2:H54">INDEX('September 21-24'!AD4:AD56,0)</f>
        <v>0</v>
      </c>
      <c r="I2" s="30">
        <f t="array" ref="I2:I54">INDEX('September 28-01'!AD4:AD56,0)</f>
        <v>0</v>
      </c>
      <c r="J2" s="30">
        <f t="array" ref="J2:J54">INDEX('October 05-08'!AD4:AD56,0)</f>
        <v>0</v>
      </c>
      <c r="K2" s="30">
        <f t="shared" ref="K2:K54" si="1">SUM(C2:J2)</f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29" t="s">
        <v>29</v>
      </c>
      <c r="B3" s="29" t="s">
        <v>68</v>
      </c>
      <c r="C3" s="30">
        <v>0.0</v>
      </c>
      <c r="D3" s="30">
        <v>0.0</v>
      </c>
      <c r="E3" s="30">
        <v>0.0</v>
      </c>
      <c r="F3" s="30">
        <v>0.0</v>
      </c>
      <c r="G3" s="30">
        <v>0.0</v>
      </c>
      <c r="H3" s="30">
        <v>0.0</v>
      </c>
      <c r="I3" s="30">
        <v>0.0</v>
      </c>
      <c r="J3" s="30">
        <v>0.0</v>
      </c>
      <c r="K3" s="30">
        <f t="shared" si="1"/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3" t="s">
        <v>95</v>
      </c>
      <c r="B4" s="43" t="s">
        <v>35</v>
      </c>
      <c r="C4" s="30">
        <v>0.0</v>
      </c>
      <c r="D4" s="30">
        <v>0.0</v>
      </c>
      <c r="E4" s="30">
        <v>0.0</v>
      </c>
      <c r="F4" s="30">
        <v>0.0</v>
      </c>
      <c r="G4" s="30">
        <v>1.0</v>
      </c>
      <c r="H4" s="30">
        <v>0.0</v>
      </c>
      <c r="I4" s="30">
        <v>0.0</v>
      </c>
      <c r="J4" s="30">
        <v>0.0</v>
      </c>
      <c r="K4" s="30">
        <f t="shared" si="1"/>
        <v>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4" t="s">
        <v>41</v>
      </c>
      <c r="B5" s="54" t="s">
        <v>42</v>
      </c>
      <c r="C5" s="30">
        <v>0.0</v>
      </c>
      <c r="D5" s="30">
        <v>0.0</v>
      </c>
      <c r="E5" s="30">
        <v>0.0</v>
      </c>
      <c r="F5" s="30">
        <v>1.0</v>
      </c>
      <c r="G5" s="30">
        <v>0.0</v>
      </c>
      <c r="H5" s="30">
        <v>0.0</v>
      </c>
      <c r="I5" s="30">
        <v>0.0</v>
      </c>
      <c r="J5" s="30">
        <v>0.0</v>
      </c>
      <c r="K5" s="30">
        <f t="shared" si="1"/>
        <v>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4" t="s">
        <v>48</v>
      </c>
      <c r="B6" s="54" t="s">
        <v>51</v>
      </c>
      <c r="C6" s="30">
        <v>0.0</v>
      </c>
      <c r="D6" s="30">
        <v>0.0</v>
      </c>
      <c r="E6" s="30">
        <v>0.0</v>
      </c>
      <c r="F6" s="30">
        <v>1.0</v>
      </c>
      <c r="G6" s="30">
        <v>1.0</v>
      </c>
      <c r="H6" s="30">
        <v>0.0</v>
      </c>
      <c r="I6" s="30">
        <v>0.0</v>
      </c>
      <c r="J6" s="30">
        <v>0.0</v>
      </c>
      <c r="K6" s="30">
        <f t="shared" si="1"/>
        <v>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3" t="s">
        <v>58</v>
      </c>
      <c r="B7" s="43" t="s">
        <v>148</v>
      </c>
      <c r="C7" s="30">
        <v>0.0</v>
      </c>
      <c r="D7" s="30">
        <v>1.0</v>
      </c>
      <c r="E7" s="30">
        <v>0.0</v>
      </c>
      <c r="F7" s="30">
        <v>1.0</v>
      </c>
      <c r="G7" s="30">
        <v>0.0</v>
      </c>
      <c r="H7" s="30">
        <v>0.0</v>
      </c>
      <c r="I7" s="30">
        <v>0.0</v>
      </c>
      <c r="J7" s="30">
        <v>0.0</v>
      </c>
      <c r="K7" s="30">
        <f t="shared" si="1"/>
        <v>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4" t="s">
        <v>63</v>
      </c>
      <c r="B8" s="74" t="s">
        <v>64</v>
      </c>
      <c r="C8" s="30">
        <v>0.0</v>
      </c>
      <c r="D8" s="30">
        <v>0.0</v>
      </c>
      <c r="E8" s="30">
        <v>0.0</v>
      </c>
      <c r="F8" s="30">
        <v>1.0</v>
      </c>
      <c r="G8" s="30">
        <v>0.0</v>
      </c>
      <c r="H8" s="30">
        <v>0.0</v>
      </c>
      <c r="I8" s="30">
        <v>0.0</v>
      </c>
      <c r="J8" s="30">
        <v>0.0</v>
      </c>
      <c r="K8" s="30">
        <f t="shared" si="1"/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4" t="s">
        <v>66</v>
      </c>
      <c r="B9" s="54" t="s">
        <v>187</v>
      </c>
      <c r="C9" s="30">
        <v>0.0</v>
      </c>
      <c r="D9" s="30">
        <v>0.0</v>
      </c>
      <c r="E9" s="30">
        <v>0.0</v>
      </c>
      <c r="F9" s="30">
        <v>0.0</v>
      </c>
      <c r="G9" s="30">
        <v>0.0</v>
      </c>
      <c r="H9" s="30">
        <v>0.0</v>
      </c>
      <c r="I9" s="30">
        <v>0.0</v>
      </c>
      <c r="J9" s="30">
        <v>0.0</v>
      </c>
      <c r="K9" s="30">
        <f t="shared" si="1"/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6" t="s">
        <v>71</v>
      </c>
      <c r="B10" s="46" t="s">
        <v>195</v>
      </c>
      <c r="C10" s="30">
        <v>0.0</v>
      </c>
      <c r="D10" s="30">
        <v>0.0</v>
      </c>
      <c r="E10" s="30">
        <v>1.0</v>
      </c>
      <c r="F10" s="30">
        <v>0.0</v>
      </c>
      <c r="G10" s="30">
        <v>0.0</v>
      </c>
      <c r="H10" s="30">
        <v>0.0</v>
      </c>
      <c r="I10" s="30">
        <v>0.0</v>
      </c>
      <c r="J10" s="30">
        <v>0.0</v>
      </c>
      <c r="K10" s="30">
        <f t="shared" si="1"/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4" t="s">
        <v>85</v>
      </c>
      <c r="B11" s="54" t="s">
        <v>86</v>
      </c>
      <c r="C11" s="30">
        <v>0.0</v>
      </c>
      <c r="D11" s="30">
        <v>1.0</v>
      </c>
      <c r="E11" s="30">
        <v>0.0</v>
      </c>
      <c r="F11" s="30">
        <v>0.0</v>
      </c>
      <c r="G11" s="30">
        <v>1.0</v>
      </c>
      <c r="H11" s="30">
        <v>0.0</v>
      </c>
      <c r="I11" s="30">
        <v>0.0</v>
      </c>
      <c r="J11" s="30">
        <v>0.0</v>
      </c>
      <c r="K11" s="30">
        <f t="shared" si="1"/>
        <v>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4" t="s">
        <v>88</v>
      </c>
      <c r="B12" s="54" t="s">
        <v>246</v>
      </c>
      <c r="C12" s="30">
        <v>0.0</v>
      </c>
      <c r="D12" s="30">
        <v>0.0</v>
      </c>
      <c r="E12" s="30">
        <v>0.0</v>
      </c>
      <c r="F12" s="30">
        <v>0.0</v>
      </c>
      <c r="G12" s="30">
        <v>1.0</v>
      </c>
      <c r="H12" s="30">
        <v>0.0</v>
      </c>
      <c r="I12" s="30">
        <v>0.0</v>
      </c>
      <c r="J12" s="30">
        <v>0.0</v>
      </c>
      <c r="K12" s="30">
        <f t="shared" si="1"/>
        <v>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3" t="s">
        <v>94</v>
      </c>
      <c r="B13" s="43" t="s">
        <v>258</v>
      </c>
      <c r="C13" s="30">
        <v>0.0</v>
      </c>
      <c r="D13" s="30">
        <v>0.0</v>
      </c>
      <c r="E13" s="30">
        <v>0.0</v>
      </c>
      <c r="F13" s="30">
        <v>0.0</v>
      </c>
      <c r="G13" s="30">
        <v>0.0</v>
      </c>
      <c r="H13" s="30">
        <v>0.0</v>
      </c>
      <c r="I13" s="30">
        <v>0.0</v>
      </c>
      <c r="J13" s="30">
        <v>0.0</v>
      </c>
      <c r="K13" s="30">
        <f t="shared" si="1"/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3" t="s">
        <v>107</v>
      </c>
      <c r="B14" s="46" t="s">
        <v>276</v>
      </c>
      <c r="C14" s="30">
        <v>1.0</v>
      </c>
      <c r="D14" s="30">
        <v>0.0</v>
      </c>
      <c r="E14" s="30">
        <v>1.0</v>
      </c>
      <c r="F14" s="30">
        <v>1.0</v>
      </c>
      <c r="G14" s="30">
        <v>1.0</v>
      </c>
      <c r="H14" s="30">
        <v>0.0</v>
      </c>
      <c r="I14" s="30">
        <v>0.0</v>
      </c>
      <c r="J14" s="30">
        <v>0.0</v>
      </c>
      <c r="K14" s="92">
        <f t="shared" si="1"/>
        <v>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3" t="s">
        <v>112</v>
      </c>
      <c r="B15" s="43" t="s">
        <v>292</v>
      </c>
      <c r="C15" s="30">
        <v>0.0</v>
      </c>
      <c r="D15" s="30">
        <v>0.0</v>
      </c>
      <c r="E15" s="30">
        <v>0.0</v>
      </c>
      <c r="F15" s="30">
        <v>0.0</v>
      </c>
      <c r="G15" s="30">
        <v>0.0</v>
      </c>
      <c r="H15" s="30">
        <v>0.0</v>
      </c>
      <c r="I15" s="30">
        <v>0.0</v>
      </c>
      <c r="J15" s="30">
        <v>0.0</v>
      </c>
      <c r="K15" s="30">
        <f t="shared" si="1"/>
        <v>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43" t="s">
        <v>112</v>
      </c>
      <c r="B16" s="43" t="s">
        <v>117</v>
      </c>
      <c r="C16" s="30">
        <v>0.0</v>
      </c>
      <c r="D16" s="30">
        <v>0.0</v>
      </c>
      <c r="E16" s="30">
        <v>0.0</v>
      </c>
      <c r="F16" s="30">
        <v>0.0</v>
      </c>
      <c r="G16" s="30">
        <v>0.0</v>
      </c>
      <c r="H16" s="30">
        <v>0.0</v>
      </c>
      <c r="I16" s="30">
        <v>0.0</v>
      </c>
      <c r="J16" s="30">
        <v>0.0</v>
      </c>
      <c r="K16" s="30">
        <f t="shared" si="1"/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3" t="s">
        <v>119</v>
      </c>
      <c r="B17" s="43" t="s">
        <v>121</v>
      </c>
      <c r="C17" s="30">
        <v>0.0</v>
      </c>
      <c r="D17" s="30">
        <v>0.0</v>
      </c>
      <c r="E17" s="30">
        <v>0.0</v>
      </c>
      <c r="F17" s="30">
        <v>1.0</v>
      </c>
      <c r="G17" s="30">
        <v>0.0</v>
      </c>
      <c r="H17" s="30">
        <v>0.0</v>
      </c>
      <c r="I17" s="30">
        <v>0.0</v>
      </c>
      <c r="J17" s="30">
        <v>0.0</v>
      </c>
      <c r="K17" s="30">
        <f t="shared" si="1"/>
        <v>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3" t="s">
        <v>126</v>
      </c>
      <c r="B18" s="43" t="s">
        <v>127</v>
      </c>
      <c r="C18" s="30">
        <v>1.0</v>
      </c>
      <c r="D18" s="30">
        <v>0.0</v>
      </c>
      <c r="E18" s="30">
        <v>2.0</v>
      </c>
      <c r="F18" s="30">
        <v>0.0</v>
      </c>
      <c r="G18" s="30">
        <v>1.0</v>
      </c>
      <c r="H18" s="30">
        <v>0.0</v>
      </c>
      <c r="I18" s="30">
        <v>0.0</v>
      </c>
      <c r="J18" s="30">
        <v>0.0</v>
      </c>
      <c r="K18" s="30">
        <f t="shared" si="1"/>
        <v>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4" t="s">
        <v>135</v>
      </c>
      <c r="B19" s="54" t="s">
        <v>136</v>
      </c>
      <c r="C19" s="30">
        <v>0.0</v>
      </c>
      <c r="D19" s="30">
        <v>1.0</v>
      </c>
      <c r="E19" s="30">
        <v>0.0</v>
      </c>
      <c r="F19" s="30">
        <v>2.0</v>
      </c>
      <c r="G19" s="30">
        <v>0.0</v>
      </c>
      <c r="H19" s="30">
        <v>0.0</v>
      </c>
      <c r="I19" s="30">
        <v>0.0</v>
      </c>
      <c r="J19" s="30">
        <v>0.0</v>
      </c>
      <c r="K19" s="30">
        <f t="shared" si="1"/>
        <v>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3" t="s">
        <v>138</v>
      </c>
      <c r="B20" s="43" t="s">
        <v>139</v>
      </c>
      <c r="C20" s="30">
        <v>0.0</v>
      </c>
      <c r="D20" s="30">
        <v>1.0</v>
      </c>
      <c r="E20" s="30">
        <v>0.0</v>
      </c>
      <c r="F20" s="30">
        <v>0.0</v>
      </c>
      <c r="G20" s="30">
        <v>1.0</v>
      </c>
      <c r="H20" s="30">
        <v>0.0</v>
      </c>
      <c r="I20" s="30">
        <v>0.0</v>
      </c>
      <c r="J20" s="30">
        <v>0.0</v>
      </c>
      <c r="K20" s="30">
        <f t="shared" si="1"/>
        <v>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3" t="s">
        <v>146</v>
      </c>
      <c r="B21" s="43" t="s">
        <v>149</v>
      </c>
      <c r="C21" s="30">
        <v>0.0</v>
      </c>
      <c r="D21" s="30">
        <v>0.0</v>
      </c>
      <c r="E21" s="30">
        <v>0.0</v>
      </c>
      <c r="F21" s="30">
        <v>1.0</v>
      </c>
      <c r="G21" s="30">
        <v>1.0</v>
      </c>
      <c r="H21" s="30">
        <v>0.0</v>
      </c>
      <c r="I21" s="30">
        <v>0.0</v>
      </c>
      <c r="J21" s="30">
        <v>0.0</v>
      </c>
      <c r="K21" s="30">
        <f t="shared" si="1"/>
        <v>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9.25" customHeight="1">
      <c r="A22" s="74" t="s">
        <v>153</v>
      </c>
      <c r="B22" s="74" t="s">
        <v>154</v>
      </c>
      <c r="C22" s="30">
        <v>1.0</v>
      </c>
      <c r="D22" s="30">
        <v>1.0</v>
      </c>
      <c r="E22" s="30">
        <v>0.0</v>
      </c>
      <c r="F22" s="30">
        <v>3.0</v>
      </c>
      <c r="G22" s="30">
        <v>0.0</v>
      </c>
      <c r="H22" s="30">
        <v>0.0</v>
      </c>
      <c r="I22" s="30">
        <v>0.0</v>
      </c>
      <c r="J22" s="30">
        <v>0.0</v>
      </c>
      <c r="K22" s="101">
        <f t="shared" si="1"/>
        <v>5</v>
      </c>
      <c r="L22" s="104" t="s">
        <v>432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4" t="s">
        <v>162</v>
      </c>
      <c r="B23" s="54" t="s">
        <v>163</v>
      </c>
      <c r="C23" s="30">
        <v>0.0</v>
      </c>
      <c r="D23" s="30">
        <v>0.0</v>
      </c>
      <c r="E23" s="30">
        <v>0.0</v>
      </c>
      <c r="F23" s="30">
        <v>1.0</v>
      </c>
      <c r="G23" s="30">
        <v>1.0</v>
      </c>
      <c r="H23" s="30">
        <v>0.0</v>
      </c>
      <c r="I23" s="30">
        <v>0.0</v>
      </c>
      <c r="J23" s="30">
        <v>0.0</v>
      </c>
      <c r="K23" s="30">
        <f t="shared" si="1"/>
        <v>2</v>
      </c>
      <c r="L23" s="10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4" t="s">
        <v>165</v>
      </c>
      <c r="B24" s="74" t="s">
        <v>166</v>
      </c>
      <c r="C24" s="30">
        <v>1.0</v>
      </c>
      <c r="D24" s="30">
        <v>0.0</v>
      </c>
      <c r="E24" s="30">
        <v>0.0</v>
      </c>
      <c r="F24" s="30">
        <v>1.0</v>
      </c>
      <c r="G24" s="30">
        <v>0.0</v>
      </c>
      <c r="H24" s="30">
        <v>0.0</v>
      </c>
      <c r="I24" s="30">
        <v>0.0</v>
      </c>
      <c r="J24" s="30">
        <v>0.0</v>
      </c>
      <c r="K24" s="30">
        <f t="shared" si="1"/>
        <v>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3" t="s">
        <v>175</v>
      </c>
      <c r="B25" s="43" t="s">
        <v>80</v>
      </c>
      <c r="C25" s="30">
        <v>0.0</v>
      </c>
      <c r="D25" s="30">
        <v>0.0</v>
      </c>
      <c r="E25" s="30">
        <v>0.0</v>
      </c>
      <c r="F25" s="30">
        <v>0.0</v>
      </c>
      <c r="G25" s="30">
        <v>0.0</v>
      </c>
      <c r="H25" s="30">
        <v>0.0</v>
      </c>
      <c r="I25" s="30">
        <v>0.0</v>
      </c>
      <c r="J25" s="30">
        <v>0.0</v>
      </c>
      <c r="K25" s="30">
        <f t="shared" si="1"/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6" t="s">
        <v>180</v>
      </c>
      <c r="B26" s="46" t="s">
        <v>181</v>
      </c>
      <c r="C26" s="30">
        <v>0.0</v>
      </c>
      <c r="D26" s="30">
        <v>1.0</v>
      </c>
      <c r="E26" s="30">
        <v>0.0</v>
      </c>
      <c r="F26" s="30">
        <v>0.0</v>
      </c>
      <c r="G26" s="30">
        <v>0.0</v>
      </c>
      <c r="H26" s="30">
        <v>0.0</v>
      </c>
      <c r="I26" s="30">
        <v>0.0</v>
      </c>
      <c r="J26" s="30">
        <v>0.0</v>
      </c>
      <c r="K26" s="30">
        <f t="shared" si="1"/>
        <v>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4" t="s">
        <v>184</v>
      </c>
      <c r="B27" s="74" t="s">
        <v>185</v>
      </c>
      <c r="C27" s="30">
        <v>1.0</v>
      </c>
      <c r="D27" s="30">
        <v>0.0</v>
      </c>
      <c r="E27" s="30">
        <v>0.0</v>
      </c>
      <c r="F27" s="30">
        <v>1.0</v>
      </c>
      <c r="G27" s="30">
        <v>1.0</v>
      </c>
      <c r="H27" s="30">
        <v>0.0</v>
      </c>
      <c r="I27" s="30">
        <v>0.0</v>
      </c>
      <c r="J27" s="30">
        <v>0.0</v>
      </c>
      <c r="K27" s="30">
        <f t="shared" si="1"/>
        <v>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4" t="s">
        <v>193</v>
      </c>
      <c r="B28" s="54" t="s">
        <v>194</v>
      </c>
      <c r="C28" s="30">
        <v>0.0</v>
      </c>
      <c r="D28" s="30">
        <v>0.0</v>
      </c>
      <c r="E28" s="30">
        <v>1.0</v>
      </c>
      <c r="F28" s="30">
        <v>0.0</v>
      </c>
      <c r="G28" s="30">
        <v>0.0</v>
      </c>
      <c r="H28" s="30">
        <v>0.0</v>
      </c>
      <c r="I28" s="30">
        <v>0.0</v>
      </c>
      <c r="J28" s="30">
        <v>0.0</v>
      </c>
      <c r="K28" s="30">
        <f t="shared" si="1"/>
        <v>1</v>
      </c>
      <c r="L28" s="12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4" t="s">
        <v>199</v>
      </c>
      <c r="B29" s="54" t="s">
        <v>200</v>
      </c>
      <c r="C29" s="30">
        <v>2.0</v>
      </c>
      <c r="D29" s="30">
        <v>0.0</v>
      </c>
      <c r="E29" s="30">
        <v>0.0</v>
      </c>
      <c r="F29" s="30">
        <v>0.0</v>
      </c>
      <c r="G29" s="30">
        <v>0.0</v>
      </c>
      <c r="H29" s="30">
        <v>0.0</v>
      </c>
      <c r="I29" s="30">
        <v>0.0</v>
      </c>
      <c r="J29" s="30">
        <v>0.0</v>
      </c>
      <c r="K29" s="30">
        <f t="shared" si="1"/>
        <v>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6" t="s">
        <v>206</v>
      </c>
      <c r="B30" s="46" t="s">
        <v>397</v>
      </c>
      <c r="C30" s="30">
        <v>0.0</v>
      </c>
      <c r="D30" s="30">
        <v>0.0</v>
      </c>
      <c r="E30" s="30">
        <v>0.0</v>
      </c>
      <c r="F30" s="30">
        <v>0.0</v>
      </c>
      <c r="G30" s="30">
        <v>0.0</v>
      </c>
      <c r="H30" s="30">
        <v>0.0</v>
      </c>
      <c r="I30" s="30">
        <v>0.0</v>
      </c>
      <c r="J30" s="30">
        <v>0.0</v>
      </c>
      <c r="K30" s="30">
        <f t="shared" si="1"/>
        <v>0</v>
      </c>
      <c r="L30" s="5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6" t="s">
        <v>210</v>
      </c>
      <c r="B31" s="36" t="s">
        <v>211</v>
      </c>
      <c r="C31" s="30">
        <v>1.0</v>
      </c>
      <c r="D31" s="2">
        <v>0.0</v>
      </c>
      <c r="E31" s="2">
        <v>0.0</v>
      </c>
      <c r="F31" s="2">
        <v>2.0</v>
      </c>
      <c r="G31" s="2">
        <v>0.0</v>
      </c>
      <c r="H31" s="2">
        <v>0.0</v>
      </c>
      <c r="I31" s="2">
        <v>0.0</v>
      </c>
      <c r="J31" s="2">
        <v>0.0</v>
      </c>
      <c r="K31" s="30">
        <f t="shared" si="1"/>
        <v>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3" t="s">
        <v>219</v>
      </c>
      <c r="B32" s="43" t="s">
        <v>415</v>
      </c>
      <c r="C32" s="2">
        <v>0.0</v>
      </c>
      <c r="D32" s="2">
        <v>0.0</v>
      </c>
      <c r="E32" s="2">
        <v>0.0</v>
      </c>
      <c r="F32" s="2">
        <v>1.0</v>
      </c>
      <c r="G32" s="2">
        <v>2.0</v>
      </c>
      <c r="H32" s="2">
        <v>0.0</v>
      </c>
      <c r="I32" s="2">
        <v>0.0</v>
      </c>
      <c r="J32" s="2">
        <v>0.0</v>
      </c>
      <c r="K32" s="30">
        <f t="shared" si="1"/>
        <v>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3" t="s">
        <v>219</v>
      </c>
      <c r="B33" s="43" t="s">
        <v>225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30">
        <f t="shared" si="1"/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9" t="s">
        <v>233</v>
      </c>
      <c r="B34" s="99" t="s">
        <v>234</v>
      </c>
      <c r="C34" s="2">
        <v>0.0</v>
      </c>
      <c r="D34" s="2">
        <v>0.0</v>
      </c>
      <c r="E34" s="2">
        <v>0.0</v>
      </c>
      <c r="F34" s="2">
        <v>1.0</v>
      </c>
      <c r="G34" s="2">
        <v>1.0</v>
      </c>
      <c r="H34" s="2">
        <v>0.0</v>
      </c>
      <c r="I34" s="2">
        <v>0.0</v>
      </c>
      <c r="J34" s="2">
        <v>0.0</v>
      </c>
      <c r="K34" s="30">
        <f t="shared" si="1"/>
        <v>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4" t="s">
        <v>243</v>
      </c>
      <c r="B35" s="114" t="s">
        <v>244</v>
      </c>
      <c r="C35" s="2">
        <v>0.0</v>
      </c>
      <c r="D35" s="2">
        <v>0.0</v>
      </c>
      <c r="E35" s="2">
        <v>0.0</v>
      </c>
      <c r="F35" s="2">
        <v>1.0</v>
      </c>
      <c r="G35" s="2">
        <v>1.0</v>
      </c>
      <c r="H35" s="2">
        <v>0.0</v>
      </c>
      <c r="I35" s="2">
        <v>0.0</v>
      </c>
      <c r="J35" s="2">
        <v>0.0</v>
      </c>
      <c r="K35" s="30">
        <f t="shared" si="1"/>
        <v>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3" t="s">
        <v>435</v>
      </c>
      <c r="B36" s="43" t="s">
        <v>255</v>
      </c>
      <c r="C36" s="2">
        <v>0.0</v>
      </c>
      <c r="D36" s="2">
        <v>0.0</v>
      </c>
      <c r="E36" s="2">
        <v>0.0</v>
      </c>
      <c r="F36" s="2">
        <v>2.0</v>
      </c>
      <c r="G36" s="2">
        <v>0.0</v>
      </c>
      <c r="H36" s="2">
        <v>0.0</v>
      </c>
      <c r="I36" s="2">
        <v>0.0</v>
      </c>
      <c r="J36" s="2">
        <v>0.0</v>
      </c>
      <c r="K36" s="30">
        <f t="shared" si="1"/>
        <v>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6" t="s">
        <v>261</v>
      </c>
      <c r="B37" s="46" t="s">
        <v>444</v>
      </c>
      <c r="C37" s="2">
        <v>0.0</v>
      </c>
      <c r="D37" s="2">
        <v>1.0</v>
      </c>
      <c r="E37" s="2">
        <v>0.0</v>
      </c>
      <c r="F37" s="2">
        <v>1.0</v>
      </c>
      <c r="G37" s="2">
        <v>0.0</v>
      </c>
      <c r="H37" s="2">
        <v>0.0</v>
      </c>
      <c r="I37" s="2">
        <v>0.0</v>
      </c>
      <c r="J37" s="2">
        <v>0.0</v>
      </c>
      <c r="K37" s="30">
        <f t="shared" si="1"/>
        <v>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6" t="s">
        <v>270</v>
      </c>
      <c r="B38" s="46" t="s">
        <v>271</v>
      </c>
      <c r="C38" s="2">
        <v>0.0</v>
      </c>
      <c r="D38" s="2">
        <v>1.0</v>
      </c>
      <c r="E38" s="2">
        <v>0.0</v>
      </c>
      <c r="F38" s="2">
        <v>1.0</v>
      </c>
      <c r="G38" s="2">
        <v>1.0</v>
      </c>
      <c r="H38" s="2">
        <v>0.0</v>
      </c>
      <c r="I38" s="2">
        <v>0.0</v>
      </c>
      <c r="J38" s="2">
        <v>0.0</v>
      </c>
      <c r="K38" s="30">
        <f t="shared" si="1"/>
        <v>3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4" t="s">
        <v>275</v>
      </c>
      <c r="B39" s="74" t="s">
        <v>277</v>
      </c>
      <c r="C39" s="2">
        <v>0.0</v>
      </c>
      <c r="D39" s="2">
        <v>1.0</v>
      </c>
      <c r="E39" s="2">
        <v>1.0</v>
      </c>
      <c r="F39" s="2">
        <v>0.0</v>
      </c>
      <c r="G39" s="2">
        <v>1.0</v>
      </c>
      <c r="H39" s="2">
        <v>0.0</v>
      </c>
      <c r="I39" s="2">
        <v>0.0</v>
      </c>
      <c r="J39" s="2">
        <v>0.0</v>
      </c>
      <c r="K39" s="30">
        <f t="shared" si="1"/>
        <v>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3" t="s">
        <v>281</v>
      </c>
      <c r="B40" s="43" t="s">
        <v>282</v>
      </c>
      <c r="C40" s="2">
        <v>0.0</v>
      </c>
      <c r="D40" s="2">
        <v>0.0</v>
      </c>
      <c r="E40" s="2">
        <v>0.0</v>
      </c>
      <c r="F40" s="2">
        <v>2.0</v>
      </c>
      <c r="G40" s="2">
        <v>0.0</v>
      </c>
      <c r="H40" s="2">
        <v>0.0</v>
      </c>
      <c r="I40" s="2">
        <v>0.0</v>
      </c>
      <c r="J40" s="2">
        <v>0.0</v>
      </c>
      <c r="K40" s="30">
        <f t="shared" si="1"/>
        <v>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5" t="s">
        <v>289</v>
      </c>
      <c r="B41" s="115" t="s">
        <v>246</v>
      </c>
      <c r="C41" s="2">
        <v>0.0</v>
      </c>
      <c r="D41" s="2">
        <v>1.0</v>
      </c>
      <c r="E41" s="2">
        <v>0.0</v>
      </c>
      <c r="F41" s="2">
        <v>0.0</v>
      </c>
      <c r="G41" s="2">
        <v>1.0</v>
      </c>
      <c r="H41" s="2">
        <v>0.0</v>
      </c>
      <c r="I41" s="2">
        <v>0.0</v>
      </c>
      <c r="J41" s="2">
        <v>0.0</v>
      </c>
      <c r="K41" s="30">
        <f t="shared" si="1"/>
        <v>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6" t="s">
        <v>294</v>
      </c>
      <c r="B42" s="46" t="s">
        <v>295</v>
      </c>
      <c r="C42" s="2">
        <v>0.0</v>
      </c>
      <c r="D42" s="2">
        <v>1.0</v>
      </c>
      <c r="E42" s="2">
        <v>0.0</v>
      </c>
      <c r="F42" s="2">
        <v>1.0</v>
      </c>
      <c r="G42" s="2">
        <v>0.0</v>
      </c>
      <c r="H42" s="2">
        <v>0.0</v>
      </c>
      <c r="I42" s="2">
        <v>0.0</v>
      </c>
      <c r="J42" s="2">
        <v>0.0</v>
      </c>
      <c r="K42" s="30">
        <f t="shared" si="1"/>
        <v>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6" t="s">
        <v>304</v>
      </c>
      <c r="B43" s="36" t="s">
        <v>305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30">
        <f t="shared" si="1"/>
        <v>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6" t="s">
        <v>313</v>
      </c>
      <c r="B44" s="46" t="s">
        <v>315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30">
        <f t="shared" si="1"/>
        <v>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6" t="s">
        <v>328</v>
      </c>
      <c r="B45" s="46" t="s">
        <v>321</v>
      </c>
      <c r="C45" s="2">
        <v>1.0</v>
      </c>
      <c r="D45" s="2">
        <v>1.0</v>
      </c>
      <c r="E45" s="2">
        <v>0.0</v>
      </c>
      <c r="F45" s="2">
        <v>0.0</v>
      </c>
      <c r="G45" s="2">
        <v>1.0</v>
      </c>
      <c r="H45" s="2">
        <v>0.0</v>
      </c>
      <c r="I45" s="2">
        <v>0.0</v>
      </c>
      <c r="J45" s="2">
        <v>0.0</v>
      </c>
      <c r="K45" s="30">
        <f t="shared" si="1"/>
        <v>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6" t="s">
        <v>337</v>
      </c>
      <c r="B46" s="46" t="s">
        <v>488</v>
      </c>
      <c r="C46" s="2">
        <v>0.0</v>
      </c>
      <c r="D46" s="2">
        <v>0.0</v>
      </c>
      <c r="E46" s="2">
        <v>0.0</v>
      </c>
      <c r="F46" s="2">
        <v>1.0</v>
      </c>
      <c r="G46" s="2">
        <v>1.0</v>
      </c>
      <c r="H46" s="2">
        <v>0.0</v>
      </c>
      <c r="I46" s="2">
        <v>0.0</v>
      </c>
      <c r="J46" s="2">
        <v>0.0</v>
      </c>
      <c r="K46" s="30">
        <f t="shared" si="1"/>
        <v>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6" t="s">
        <v>343</v>
      </c>
      <c r="B47" s="46" t="s">
        <v>166</v>
      </c>
      <c r="C47" s="2">
        <v>0.0</v>
      </c>
      <c r="D47" s="2">
        <v>0.0</v>
      </c>
      <c r="E47" s="2">
        <v>0.0</v>
      </c>
      <c r="F47" s="2">
        <v>1.0</v>
      </c>
      <c r="G47" s="2">
        <v>1.0</v>
      </c>
      <c r="H47" s="2">
        <v>0.0</v>
      </c>
      <c r="I47" s="2">
        <v>0.0</v>
      </c>
      <c r="J47" s="2">
        <v>0.0</v>
      </c>
      <c r="K47" s="30">
        <f t="shared" si="1"/>
        <v>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6" t="s">
        <v>352</v>
      </c>
      <c r="B48" s="46" t="s">
        <v>353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30">
        <f t="shared" si="1"/>
        <v>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6" t="s">
        <v>363</v>
      </c>
      <c r="B49" s="36" t="s">
        <v>364</v>
      </c>
      <c r="C49" s="2">
        <v>0.0</v>
      </c>
      <c r="D49" s="2">
        <v>1.0</v>
      </c>
      <c r="E49" s="2">
        <v>1.0</v>
      </c>
      <c r="F49" s="2">
        <v>0.0</v>
      </c>
      <c r="G49" s="2">
        <v>2.0</v>
      </c>
      <c r="H49" s="2">
        <v>0.0</v>
      </c>
      <c r="I49" s="2">
        <v>0.0</v>
      </c>
      <c r="J49" s="2">
        <v>0.0</v>
      </c>
      <c r="K49" s="30">
        <f t="shared" si="1"/>
        <v>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6" t="s">
        <v>372</v>
      </c>
      <c r="B50" s="46" t="s">
        <v>373</v>
      </c>
      <c r="C50" s="2">
        <v>0.0</v>
      </c>
      <c r="D50" s="2">
        <v>0.0</v>
      </c>
      <c r="E50" s="2">
        <v>0.0</v>
      </c>
      <c r="F50" s="2">
        <v>0.0</v>
      </c>
      <c r="G50" s="2">
        <v>1.0</v>
      </c>
      <c r="H50" s="2">
        <v>0.0</v>
      </c>
      <c r="I50" s="2">
        <v>0.0</v>
      </c>
      <c r="J50" s="2">
        <v>0.0</v>
      </c>
      <c r="K50" s="30">
        <f t="shared" si="1"/>
        <v>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6" t="s">
        <v>378</v>
      </c>
      <c r="B51" s="46" t="s">
        <v>380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30">
        <f t="shared" si="1"/>
        <v>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6" t="s">
        <v>382</v>
      </c>
      <c r="B52" s="46" t="s">
        <v>527</v>
      </c>
      <c r="C52" s="2">
        <v>0.0</v>
      </c>
      <c r="D52" s="2">
        <v>0.0</v>
      </c>
      <c r="E52" s="2">
        <v>0.0</v>
      </c>
      <c r="F52" s="2">
        <v>1.0</v>
      </c>
      <c r="G52" s="2">
        <v>1.0</v>
      </c>
      <c r="H52" s="2">
        <v>0.0</v>
      </c>
      <c r="I52" s="2">
        <v>0.0</v>
      </c>
      <c r="J52" s="2">
        <v>0.0</v>
      </c>
      <c r="K52" s="30">
        <f t="shared" si="1"/>
        <v>2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9" t="s">
        <v>386</v>
      </c>
      <c r="B53" s="29" t="s">
        <v>387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30">
        <f t="shared" si="1"/>
        <v>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6" t="s">
        <v>390</v>
      </c>
      <c r="B54" s="46" t="s">
        <v>391</v>
      </c>
      <c r="C54" s="2">
        <v>0.0</v>
      </c>
      <c r="D54" s="2">
        <v>2.0</v>
      </c>
      <c r="E54" s="2">
        <v>1.0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30">
        <f t="shared" si="1"/>
        <v>3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6"/>
      <c r="B55" s="126"/>
      <c r="C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6"/>
      <c r="B56" s="12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9"/>
      <c r="B57" s="12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6"/>
      <c r="B58" s="12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6"/>
      <c r="B59" s="12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6"/>
      <c r="B60" s="12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6"/>
      <c r="B61" s="12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6"/>
      <c r="B62" s="12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6"/>
      <c r="B63" s="12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7.88"/>
    <col customWidth="1" min="3" max="3" width="11.88"/>
    <col customWidth="1" min="5" max="5" width="12.13"/>
    <col customWidth="1" min="7" max="7" width="12.88"/>
    <col customWidth="1" min="9" max="9" width="13.88"/>
    <col customWidth="1" min="15" max="15" width="14.88"/>
    <col customWidth="1" min="17" max="17" width="14.63"/>
    <col customWidth="1" min="19" max="19" width="13.63"/>
    <col customWidth="1" min="21" max="21" width="12.13"/>
  </cols>
  <sheetData>
    <row r="1" ht="23.25" customHeight="1">
      <c r="A1" s="166"/>
      <c r="B1" s="166"/>
      <c r="C1" s="167" t="s">
        <v>616</v>
      </c>
      <c r="D1" s="2"/>
      <c r="E1" s="2" t="s">
        <v>617</v>
      </c>
      <c r="F1" s="2"/>
      <c r="G1" s="2" t="s">
        <v>618</v>
      </c>
      <c r="H1" s="2"/>
      <c r="I1" s="2" t="s">
        <v>619</v>
      </c>
      <c r="J1" s="2"/>
      <c r="K1" s="2"/>
      <c r="L1" s="2"/>
      <c r="M1" s="2"/>
      <c r="N1" s="2"/>
      <c r="O1" s="2" t="s">
        <v>620</v>
      </c>
      <c r="P1" s="2"/>
      <c r="Q1" s="167" t="s">
        <v>621</v>
      </c>
      <c r="R1" s="2"/>
      <c r="S1" s="2" t="s">
        <v>622</v>
      </c>
      <c r="T1" s="2"/>
      <c r="U1" s="2" t="s">
        <v>623</v>
      </c>
      <c r="V1" s="2"/>
      <c r="W1" s="2"/>
      <c r="X1" s="2"/>
    </row>
    <row r="2">
      <c r="A2" s="168" t="s">
        <v>1</v>
      </c>
      <c r="B2" s="168" t="s">
        <v>7</v>
      </c>
      <c r="C2" s="6" t="s">
        <v>8</v>
      </c>
      <c r="D2" s="169" t="s">
        <v>24</v>
      </c>
      <c r="E2" s="6" t="s">
        <v>10</v>
      </c>
      <c r="F2" s="169" t="s">
        <v>24</v>
      </c>
      <c r="G2" s="6" t="s">
        <v>11</v>
      </c>
      <c r="H2" s="169" t="s">
        <v>24</v>
      </c>
      <c r="I2" s="6" t="s">
        <v>12</v>
      </c>
      <c r="J2" s="169" t="s">
        <v>24</v>
      </c>
      <c r="K2" s="170" t="s">
        <v>624</v>
      </c>
      <c r="L2" s="171" t="s">
        <v>625</v>
      </c>
      <c r="M2" s="171" t="s">
        <v>626</v>
      </c>
      <c r="N2" s="169" t="s">
        <v>24</v>
      </c>
      <c r="O2" s="172" t="s">
        <v>13</v>
      </c>
      <c r="P2" s="169" t="s">
        <v>24</v>
      </c>
      <c r="Q2" s="172" t="s">
        <v>14</v>
      </c>
      <c r="R2" s="169" t="s">
        <v>24</v>
      </c>
      <c r="S2" s="6" t="s">
        <v>16</v>
      </c>
      <c r="T2" s="169" t="s">
        <v>24</v>
      </c>
      <c r="U2" s="6" t="s">
        <v>17</v>
      </c>
      <c r="V2" s="171" t="s">
        <v>625</v>
      </c>
      <c r="W2" s="173" t="s">
        <v>627</v>
      </c>
      <c r="X2" s="171" t="s">
        <v>628</v>
      </c>
    </row>
    <row r="3" ht="20.25" customHeight="1">
      <c r="A3" s="17" t="s">
        <v>20</v>
      </c>
      <c r="B3" s="17" t="s">
        <v>37</v>
      </c>
      <c r="C3" s="174">
        <f t="array" ref="C3:C17">INDEX('August 17-20'!AE4:AE18,0)</f>
        <v>18</v>
      </c>
      <c r="D3" s="51"/>
      <c r="E3" s="174">
        <f t="array" ref="E3:E15">INDEX('August 24-27'!AF4:AF16,0)</f>
        <v>17</v>
      </c>
      <c r="F3" s="175"/>
      <c r="G3" s="174">
        <f t="array" ref="G3:G16">INDEX('August 31-03'!AE4:AE17,0)</f>
        <v>18</v>
      </c>
      <c r="H3" s="51"/>
      <c r="I3" s="174">
        <f t="array" ref="I3:I9">INDEX('September 07-10'!AE4:AE10,0)</f>
        <v>14</v>
      </c>
      <c r="J3" s="51"/>
      <c r="K3" s="174">
        <f t="shared" ref="K3:K55" si="1">58-L3</f>
        <v>-9</v>
      </c>
      <c r="L3" s="174">
        <f t="shared" ref="L3:L55" si="2">sum(C3+E3+G3+I3)</f>
        <v>67</v>
      </c>
      <c r="M3" s="176">
        <f t="shared" ref="M3:M55" si="3">L3/72</f>
        <v>0.9305555556</v>
      </c>
      <c r="N3" s="177"/>
      <c r="O3" s="174">
        <f t="array" ref="O3:O15">INDEX('September 14-17'!AE4:AE16,0)</f>
        <v>16</v>
      </c>
      <c r="P3" s="2"/>
      <c r="Q3" s="2">
        <f t="array" ref="Q3:Q55">INDEX('September 21-24'!AE4:AE56,0)</f>
        <v>0</v>
      </c>
      <c r="R3" s="51"/>
      <c r="S3" s="174">
        <f t="array" ref="S3:S55">INDEX('September 28-01'!AE4:AE56,0)</f>
        <v>0</v>
      </c>
      <c r="T3" s="51"/>
      <c r="U3" s="174">
        <f t="array" ref="U3:U55">INDEX('October 05-08'!AE4:AE56,0)</f>
        <v>0</v>
      </c>
      <c r="V3" s="174">
        <f t="shared" ref="V3:V55" si="4">sum(O3+Q3+S3+U3)</f>
        <v>16</v>
      </c>
      <c r="W3" s="176">
        <f>V3/66</f>
        <v>0.2424242424</v>
      </c>
      <c r="X3" s="174">
        <f t="shared" ref="X3:X5" si="5">53-V3</f>
        <v>37</v>
      </c>
    </row>
    <row r="4" ht="20.25" customHeight="1">
      <c r="A4" s="29" t="s">
        <v>29</v>
      </c>
      <c r="B4" s="29" t="s">
        <v>68</v>
      </c>
      <c r="C4" s="174">
        <v>16.0</v>
      </c>
      <c r="D4" s="51"/>
      <c r="E4" s="174">
        <v>20.0</v>
      </c>
      <c r="F4" s="175"/>
      <c r="G4" s="174">
        <v>16.0</v>
      </c>
      <c r="H4" s="51"/>
      <c r="I4" s="174">
        <v>14.0</v>
      </c>
      <c r="J4" s="51"/>
      <c r="K4" s="174">
        <f t="shared" si="1"/>
        <v>-8</v>
      </c>
      <c r="L4" s="174">
        <f t="shared" si="2"/>
        <v>66</v>
      </c>
      <c r="M4" s="176">
        <f t="shared" si="3"/>
        <v>0.9166666667</v>
      </c>
      <c r="N4" s="177"/>
      <c r="O4" s="174">
        <v>14.0</v>
      </c>
      <c r="P4" s="2"/>
      <c r="Q4" s="2">
        <v>0.0</v>
      </c>
      <c r="R4" s="51"/>
      <c r="S4" s="174">
        <v>0.0</v>
      </c>
      <c r="T4" s="51"/>
      <c r="U4" s="174">
        <v>0.0</v>
      </c>
      <c r="V4" s="174">
        <f t="shared" si="4"/>
        <v>14</v>
      </c>
      <c r="W4" s="176">
        <f>V4/60</f>
        <v>0.2333333333</v>
      </c>
      <c r="X4" s="174">
        <f t="shared" si="5"/>
        <v>39</v>
      </c>
    </row>
    <row r="5">
      <c r="A5" s="43" t="s">
        <v>95</v>
      </c>
      <c r="B5" s="43" t="s">
        <v>35</v>
      </c>
      <c r="C5" s="174">
        <v>18.0</v>
      </c>
      <c r="D5" s="51"/>
      <c r="E5" s="174">
        <v>18.0</v>
      </c>
      <c r="F5" s="175"/>
      <c r="G5" s="174">
        <v>18.0</v>
      </c>
      <c r="H5" s="51"/>
      <c r="I5" s="174">
        <v>18.0</v>
      </c>
      <c r="J5" s="51"/>
      <c r="K5" s="174">
        <f t="shared" si="1"/>
        <v>-14</v>
      </c>
      <c r="L5" s="174">
        <f t="shared" si="2"/>
        <v>72</v>
      </c>
      <c r="M5" s="176">
        <f t="shared" si="3"/>
        <v>1</v>
      </c>
      <c r="N5" s="177"/>
      <c r="O5" s="174">
        <v>12.0</v>
      </c>
      <c r="P5" s="2"/>
      <c r="Q5" s="2">
        <v>0.0</v>
      </c>
      <c r="R5" s="51"/>
      <c r="S5" s="174">
        <v>0.0</v>
      </c>
      <c r="T5" s="51"/>
      <c r="U5" s="174">
        <v>0.0</v>
      </c>
      <c r="V5" s="174">
        <f t="shared" si="4"/>
        <v>12</v>
      </c>
      <c r="W5" s="176">
        <f>V5/66</f>
        <v>0.1818181818</v>
      </c>
      <c r="X5" s="174">
        <f t="shared" si="5"/>
        <v>41</v>
      </c>
    </row>
    <row r="6">
      <c r="A6" s="54" t="s">
        <v>41</v>
      </c>
      <c r="B6" s="54" t="s">
        <v>42</v>
      </c>
      <c r="C6" s="174">
        <v>16.0</v>
      </c>
      <c r="D6" s="51"/>
      <c r="E6" s="174">
        <v>17.5</v>
      </c>
      <c r="F6" s="51"/>
      <c r="G6" s="174">
        <v>18.0</v>
      </c>
      <c r="H6" s="51"/>
      <c r="I6" s="174">
        <v>13.0</v>
      </c>
      <c r="J6" s="2"/>
      <c r="K6" s="174">
        <f t="shared" si="1"/>
        <v>-6.5</v>
      </c>
      <c r="L6" s="174">
        <f t="shared" si="2"/>
        <v>64.5</v>
      </c>
      <c r="M6" s="176">
        <f t="shared" si="3"/>
        <v>0.8958333333</v>
      </c>
      <c r="N6" s="177"/>
      <c r="O6" s="174">
        <v>16.0</v>
      </c>
      <c r="P6" s="2"/>
      <c r="Q6" s="2">
        <v>0.0</v>
      </c>
      <c r="R6" s="51"/>
      <c r="S6" s="174">
        <v>0.0</v>
      </c>
      <c r="T6" s="175"/>
      <c r="U6" s="174">
        <v>0.0</v>
      </c>
      <c r="V6" s="174">
        <f t="shared" si="4"/>
        <v>16</v>
      </c>
      <c r="W6" s="176">
        <f>V6/60</f>
        <v>0.2666666667</v>
      </c>
      <c r="X6" s="174">
        <f>48-V6</f>
        <v>32</v>
      </c>
    </row>
    <row r="7">
      <c r="A7" s="54" t="s">
        <v>48</v>
      </c>
      <c r="B7" s="54" t="s">
        <v>51</v>
      </c>
      <c r="C7" s="174">
        <v>16.0</v>
      </c>
      <c r="D7" s="51"/>
      <c r="E7" s="174">
        <v>18.0</v>
      </c>
      <c r="F7" s="51"/>
      <c r="G7" s="174">
        <v>14.0</v>
      </c>
      <c r="H7" s="51"/>
      <c r="I7" s="174">
        <v>14.0</v>
      </c>
      <c r="J7" s="51"/>
      <c r="K7" s="174">
        <f t="shared" si="1"/>
        <v>-4</v>
      </c>
      <c r="L7" s="174">
        <f t="shared" si="2"/>
        <v>62</v>
      </c>
      <c r="M7" s="176">
        <f t="shared" si="3"/>
        <v>0.8611111111</v>
      </c>
      <c r="N7" s="177"/>
      <c r="O7" s="101">
        <v>12.0</v>
      </c>
      <c r="P7" s="178" t="s">
        <v>629</v>
      </c>
      <c r="Q7" s="2">
        <v>0.0</v>
      </c>
      <c r="R7" s="51"/>
      <c r="S7" s="174">
        <v>0.0</v>
      </c>
      <c r="T7" s="51"/>
      <c r="U7" s="174">
        <v>0.0</v>
      </c>
      <c r="V7" s="174">
        <f t="shared" si="4"/>
        <v>12</v>
      </c>
      <c r="W7" s="176">
        <f t="shared" ref="W7:W9" si="6">V7/66</f>
        <v>0.1818181818</v>
      </c>
      <c r="X7" s="174">
        <f t="shared" ref="X7:X9" si="7">53-V7</f>
        <v>41</v>
      </c>
    </row>
    <row r="8">
      <c r="A8" s="43" t="s">
        <v>58</v>
      </c>
      <c r="B8" s="43" t="s">
        <v>148</v>
      </c>
      <c r="C8" s="174">
        <v>14.0</v>
      </c>
      <c r="D8" s="51"/>
      <c r="E8" s="174">
        <v>20.0</v>
      </c>
      <c r="F8" s="51"/>
      <c r="G8" s="174">
        <v>16.0</v>
      </c>
      <c r="H8" s="175"/>
      <c r="I8" s="174">
        <v>12.0</v>
      </c>
      <c r="J8" s="175"/>
      <c r="K8" s="174">
        <f t="shared" si="1"/>
        <v>-4</v>
      </c>
      <c r="L8" s="174">
        <f t="shared" si="2"/>
        <v>62</v>
      </c>
      <c r="M8" s="176">
        <f t="shared" si="3"/>
        <v>0.8611111111</v>
      </c>
      <c r="N8" s="177"/>
      <c r="O8" s="174">
        <v>16.0</v>
      </c>
      <c r="P8" s="2"/>
      <c r="Q8" s="2">
        <v>0.0</v>
      </c>
      <c r="R8" s="175"/>
      <c r="S8" s="174">
        <v>0.0</v>
      </c>
      <c r="T8" s="51"/>
      <c r="U8" s="174">
        <v>0.0</v>
      </c>
      <c r="V8" s="174">
        <f t="shared" si="4"/>
        <v>16</v>
      </c>
      <c r="W8" s="176">
        <f t="shared" si="6"/>
        <v>0.2424242424</v>
      </c>
      <c r="X8" s="174">
        <f t="shared" si="7"/>
        <v>37</v>
      </c>
    </row>
    <row r="9">
      <c r="A9" s="74" t="s">
        <v>63</v>
      </c>
      <c r="B9" s="74" t="s">
        <v>64</v>
      </c>
      <c r="C9" s="174">
        <v>16.0</v>
      </c>
      <c r="D9" s="51"/>
      <c r="E9" s="174">
        <v>16.0</v>
      </c>
      <c r="F9" s="51"/>
      <c r="G9" s="174">
        <v>16.0</v>
      </c>
      <c r="H9" s="51"/>
      <c r="I9" s="174">
        <v>14.0</v>
      </c>
      <c r="J9" s="51"/>
      <c r="K9" s="174">
        <f t="shared" si="1"/>
        <v>-4</v>
      </c>
      <c r="L9" s="174">
        <f t="shared" si="2"/>
        <v>62</v>
      </c>
      <c r="M9" s="176">
        <f t="shared" si="3"/>
        <v>0.8611111111</v>
      </c>
      <c r="N9" s="177"/>
      <c r="O9" s="101">
        <v>10.0</v>
      </c>
      <c r="P9" s="178" t="s">
        <v>629</v>
      </c>
      <c r="Q9" s="2">
        <v>0.0</v>
      </c>
      <c r="R9" s="51"/>
      <c r="S9" s="174">
        <v>0.0</v>
      </c>
      <c r="T9" s="51"/>
      <c r="U9" s="174">
        <v>0.0</v>
      </c>
      <c r="V9" s="174">
        <f t="shared" si="4"/>
        <v>10</v>
      </c>
      <c r="W9" s="176">
        <f t="shared" si="6"/>
        <v>0.1515151515</v>
      </c>
      <c r="X9" s="174">
        <f t="shared" si="7"/>
        <v>43</v>
      </c>
    </row>
    <row r="10">
      <c r="A10" s="54" t="s">
        <v>66</v>
      </c>
      <c r="B10" s="54" t="s">
        <v>187</v>
      </c>
      <c r="C10" s="174">
        <v>15.0</v>
      </c>
      <c r="D10" s="51"/>
      <c r="E10" s="174">
        <v>17.0</v>
      </c>
      <c r="F10" s="51"/>
      <c r="G10" s="174">
        <v>16.0</v>
      </c>
      <c r="H10" s="51"/>
      <c r="I10" s="174">
        <f t="array" ref="I10:I14">INDEX('September 07-10'!AE11:AE15,0)</f>
        <v>13.5</v>
      </c>
      <c r="J10" s="175"/>
      <c r="K10" s="174">
        <f t="shared" si="1"/>
        <v>-3.5</v>
      </c>
      <c r="L10" s="174">
        <f t="shared" si="2"/>
        <v>61.5</v>
      </c>
      <c r="M10" s="176">
        <f t="shared" si="3"/>
        <v>0.8541666667</v>
      </c>
      <c r="N10" s="177"/>
      <c r="O10" s="174">
        <v>16.0</v>
      </c>
      <c r="P10" s="2"/>
      <c r="Q10" s="2">
        <v>0.0</v>
      </c>
      <c r="R10" s="51"/>
      <c r="S10" s="174">
        <v>0.0</v>
      </c>
      <c r="T10" s="51"/>
      <c r="U10" s="174">
        <v>0.0</v>
      </c>
      <c r="V10" s="174">
        <f t="shared" si="4"/>
        <v>16</v>
      </c>
      <c r="W10" s="176">
        <f t="shared" ref="W10:W11" si="8">V10/60</f>
        <v>0.2666666667</v>
      </c>
      <c r="X10" s="174">
        <f t="shared" ref="X10:X11" si="9">48-V10</f>
        <v>32</v>
      </c>
    </row>
    <row r="11">
      <c r="A11" s="46" t="s">
        <v>71</v>
      </c>
      <c r="B11" s="46" t="s">
        <v>195</v>
      </c>
      <c r="C11" s="174">
        <v>16.0</v>
      </c>
      <c r="D11" s="51"/>
      <c r="E11" s="174">
        <v>18.0</v>
      </c>
      <c r="F11" s="51"/>
      <c r="G11" s="174">
        <v>13.5</v>
      </c>
      <c r="H11" s="175"/>
      <c r="I11" s="174">
        <v>14.0</v>
      </c>
      <c r="J11" s="51"/>
      <c r="K11" s="174">
        <f t="shared" si="1"/>
        <v>-3.5</v>
      </c>
      <c r="L11" s="174">
        <f t="shared" si="2"/>
        <v>61.5</v>
      </c>
      <c r="M11" s="176">
        <f t="shared" si="3"/>
        <v>0.8541666667</v>
      </c>
      <c r="N11" s="177"/>
      <c r="O11" s="174">
        <v>14.0</v>
      </c>
      <c r="P11" s="2"/>
      <c r="Q11" s="2">
        <v>0.0</v>
      </c>
      <c r="R11" s="175"/>
      <c r="S11" s="174">
        <v>0.0</v>
      </c>
      <c r="T11" s="51"/>
      <c r="U11" s="174">
        <v>0.0</v>
      </c>
      <c r="V11" s="174">
        <f t="shared" si="4"/>
        <v>14</v>
      </c>
      <c r="W11" s="176">
        <f t="shared" si="8"/>
        <v>0.2333333333</v>
      </c>
      <c r="X11" s="174">
        <f t="shared" si="9"/>
        <v>34</v>
      </c>
    </row>
    <row r="12">
      <c r="A12" s="54" t="s">
        <v>85</v>
      </c>
      <c r="B12" s="54" t="s">
        <v>86</v>
      </c>
      <c r="C12" s="174">
        <v>15.0</v>
      </c>
      <c r="D12" s="51"/>
      <c r="E12" s="174">
        <v>16.5</v>
      </c>
      <c r="F12" s="51"/>
      <c r="G12" s="174">
        <v>15.5</v>
      </c>
      <c r="H12" s="175"/>
      <c r="I12" s="174">
        <v>13.0</v>
      </c>
      <c r="J12" s="51"/>
      <c r="K12" s="174">
        <f t="shared" si="1"/>
        <v>-2</v>
      </c>
      <c r="L12" s="174">
        <f t="shared" si="2"/>
        <v>60</v>
      </c>
      <c r="M12" s="176">
        <f t="shared" si="3"/>
        <v>0.8333333333</v>
      </c>
      <c r="N12" s="177"/>
      <c r="O12" s="101">
        <v>8.5</v>
      </c>
      <c r="P12" s="178" t="s">
        <v>629</v>
      </c>
      <c r="Q12" s="2">
        <v>0.0</v>
      </c>
      <c r="R12" s="51"/>
      <c r="S12" s="174">
        <v>0.0</v>
      </c>
      <c r="T12" s="51"/>
      <c r="U12" s="174">
        <v>0.0</v>
      </c>
      <c r="V12" s="174">
        <f t="shared" si="4"/>
        <v>8.5</v>
      </c>
      <c r="W12" s="176">
        <f t="shared" ref="W12:W13" si="10">V12/66</f>
        <v>0.1287878788</v>
      </c>
      <c r="X12" s="174">
        <f t="shared" ref="X12:X13" si="11">53-V12</f>
        <v>44.5</v>
      </c>
    </row>
    <row r="13">
      <c r="A13" s="54" t="s">
        <v>88</v>
      </c>
      <c r="B13" s="54" t="s">
        <v>246</v>
      </c>
      <c r="C13" s="174">
        <v>16.0</v>
      </c>
      <c r="D13" s="51"/>
      <c r="E13" s="174">
        <v>17.0</v>
      </c>
      <c r="F13" s="51"/>
      <c r="G13" s="174">
        <v>17.0</v>
      </c>
      <c r="H13" s="175"/>
      <c r="I13" s="174">
        <v>12.5</v>
      </c>
      <c r="J13" s="51"/>
      <c r="K13" s="174">
        <f t="shared" si="1"/>
        <v>-4.5</v>
      </c>
      <c r="L13" s="174">
        <f t="shared" si="2"/>
        <v>62.5</v>
      </c>
      <c r="M13" s="176">
        <f t="shared" si="3"/>
        <v>0.8680555556</v>
      </c>
      <c r="N13" s="177"/>
      <c r="O13" s="101">
        <v>7.0</v>
      </c>
      <c r="P13" s="178" t="s">
        <v>629</v>
      </c>
      <c r="Q13" s="51">
        <v>0.0</v>
      </c>
      <c r="R13" s="51"/>
      <c r="S13" s="174">
        <v>0.0</v>
      </c>
      <c r="T13" s="51"/>
      <c r="U13" s="174">
        <v>0.0</v>
      </c>
      <c r="V13" s="174">
        <f t="shared" si="4"/>
        <v>7</v>
      </c>
      <c r="W13" s="176">
        <f t="shared" si="10"/>
        <v>0.1060606061</v>
      </c>
      <c r="X13" s="174">
        <f t="shared" si="11"/>
        <v>46</v>
      </c>
    </row>
    <row r="14">
      <c r="A14" s="43" t="s">
        <v>94</v>
      </c>
      <c r="B14" s="43" t="s">
        <v>258</v>
      </c>
      <c r="C14" s="174">
        <v>14.5</v>
      </c>
      <c r="D14" s="51"/>
      <c r="E14" s="174">
        <v>19.5</v>
      </c>
      <c r="F14" s="51"/>
      <c r="G14" s="174">
        <v>17.5</v>
      </c>
      <c r="H14" s="175"/>
      <c r="I14" s="174">
        <v>13.5</v>
      </c>
      <c r="J14" s="175"/>
      <c r="K14" s="174">
        <f t="shared" si="1"/>
        <v>-7</v>
      </c>
      <c r="L14" s="174">
        <f t="shared" si="2"/>
        <v>65</v>
      </c>
      <c r="M14" s="176">
        <f t="shared" si="3"/>
        <v>0.9027777778</v>
      </c>
      <c r="N14" s="177"/>
      <c r="O14" s="174">
        <v>14.5</v>
      </c>
      <c r="P14" s="51"/>
      <c r="Q14" s="51">
        <v>0.0</v>
      </c>
      <c r="R14" s="51"/>
      <c r="S14" s="174">
        <v>0.0</v>
      </c>
      <c r="T14" s="51"/>
      <c r="U14" s="174">
        <v>0.0</v>
      </c>
      <c r="V14" s="174">
        <f t="shared" si="4"/>
        <v>14.5</v>
      </c>
      <c r="W14" s="176">
        <f t="shared" ref="W14:W15" si="12">V14/60</f>
        <v>0.2416666667</v>
      </c>
      <c r="X14" s="174">
        <f t="shared" ref="X14:X15" si="13">48-V14</f>
        <v>33.5</v>
      </c>
    </row>
    <row r="15">
      <c r="A15" s="43" t="s">
        <v>107</v>
      </c>
      <c r="B15" s="46" t="s">
        <v>276</v>
      </c>
      <c r="C15" s="101">
        <v>9.0</v>
      </c>
      <c r="D15" s="178" t="s">
        <v>630</v>
      </c>
      <c r="E15" s="174">
        <v>17.5</v>
      </c>
      <c r="F15" s="175"/>
      <c r="G15" s="174">
        <v>17.0</v>
      </c>
      <c r="H15" s="178"/>
      <c r="I15" s="174">
        <f t="array" ref="I15">INDEX('September 07-10'!AE16,0)</f>
        <v>17.5</v>
      </c>
      <c r="J15" s="51"/>
      <c r="K15" s="174">
        <f t="shared" si="1"/>
        <v>-3</v>
      </c>
      <c r="L15" s="174">
        <f t="shared" si="2"/>
        <v>61</v>
      </c>
      <c r="M15" s="176">
        <f t="shared" si="3"/>
        <v>0.8472222222</v>
      </c>
      <c r="N15" s="177"/>
      <c r="O15" s="101">
        <v>8.0</v>
      </c>
      <c r="P15" s="178" t="s">
        <v>629</v>
      </c>
      <c r="Q15" s="51">
        <v>0.0</v>
      </c>
      <c r="R15" s="51"/>
      <c r="S15" s="174">
        <v>0.0</v>
      </c>
      <c r="T15" s="51"/>
      <c r="U15" s="174">
        <v>0.0</v>
      </c>
      <c r="V15" s="174">
        <f t="shared" si="4"/>
        <v>8</v>
      </c>
      <c r="W15" s="176">
        <f t="shared" si="12"/>
        <v>0.1333333333</v>
      </c>
      <c r="X15" s="174">
        <f t="shared" si="13"/>
        <v>40</v>
      </c>
    </row>
    <row r="16">
      <c r="A16" s="43" t="s">
        <v>112</v>
      </c>
      <c r="B16" s="43" t="s">
        <v>292</v>
      </c>
      <c r="C16" s="174">
        <v>18.0</v>
      </c>
      <c r="D16" s="51"/>
      <c r="E16" s="174">
        <f t="array" ref="E16">INDEX('August 24-27'!AF17,0)</f>
        <v>19</v>
      </c>
      <c r="F16" s="175"/>
      <c r="G16" s="174">
        <v>18.0</v>
      </c>
      <c r="H16" s="175"/>
      <c r="I16" s="174">
        <f t="array" ref="I16">INDEX('September 07-10'!AE17,0)</f>
        <v>11</v>
      </c>
      <c r="J16" s="51"/>
      <c r="K16" s="174">
        <f t="shared" si="1"/>
        <v>-8</v>
      </c>
      <c r="L16" s="174">
        <f t="shared" si="2"/>
        <v>66</v>
      </c>
      <c r="M16" s="176">
        <f t="shared" si="3"/>
        <v>0.9166666667</v>
      </c>
      <c r="N16" s="177"/>
      <c r="O16" s="101">
        <f t="array" ref="O16">INDEX('September 14-17'!AE17,0)</f>
        <v>9.5</v>
      </c>
      <c r="P16" s="178" t="s">
        <v>629</v>
      </c>
      <c r="Q16" s="51">
        <v>0.0</v>
      </c>
      <c r="R16" s="51"/>
      <c r="S16" s="174">
        <v>0.0</v>
      </c>
      <c r="T16" s="51"/>
      <c r="U16" s="174">
        <v>0.0</v>
      </c>
      <c r="V16" s="174">
        <f t="shared" si="4"/>
        <v>9.5</v>
      </c>
      <c r="W16" s="176">
        <f t="shared" ref="W16:W17" si="14">V16/66</f>
        <v>0.1439393939</v>
      </c>
      <c r="X16" s="174">
        <f t="shared" ref="X16:X17" si="15">53-V16</f>
        <v>43.5</v>
      </c>
    </row>
    <row r="17">
      <c r="A17" s="43" t="s">
        <v>119</v>
      </c>
      <c r="B17" s="43" t="s">
        <v>121</v>
      </c>
      <c r="C17" s="174">
        <v>16.0</v>
      </c>
      <c r="D17" s="51"/>
      <c r="E17" s="174">
        <f t="array" ref="E17">INDEX('August 24-27'!AF20,0)</f>
        <v>13</v>
      </c>
      <c r="F17" s="51"/>
      <c r="G17" s="101">
        <f t="array" ref="G17">INDEX('August 31-03'!AE20,0)</f>
        <v>8</v>
      </c>
      <c r="H17" s="178" t="s">
        <v>631</v>
      </c>
      <c r="I17" s="174">
        <f t="array" ref="I17">INDEX('September 07-10'!AE20,0)</f>
        <v>18</v>
      </c>
      <c r="J17" s="51"/>
      <c r="K17" s="101">
        <f t="shared" si="1"/>
        <v>3</v>
      </c>
      <c r="L17" s="174">
        <f t="shared" si="2"/>
        <v>55</v>
      </c>
      <c r="M17" s="179">
        <f t="shared" si="3"/>
        <v>0.7638888889</v>
      </c>
      <c r="N17" s="177"/>
      <c r="O17" s="101">
        <f t="array" ref="O17">INDEX('September 14-17'!AE20,0)</f>
        <v>10</v>
      </c>
      <c r="P17" s="178" t="s">
        <v>629</v>
      </c>
      <c r="Q17" s="51">
        <v>0.0</v>
      </c>
      <c r="R17" s="51"/>
      <c r="S17" s="174">
        <v>0.0</v>
      </c>
      <c r="T17" s="51"/>
      <c r="U17" s="174">
        <v>0.0</v>
      </c>
      <c r="V17" s="174">
        <f t="shared" si="4"/>
        <v>10</v>
      </c>
      <c r="W17" s="176">
        <f t="shared" si="14"/>
        <v>0.1515151515</v>
      </c>
      <c r="X17" s="174">
        <f t="shared" si="15"/>
        <v>43</v>
      </c>
    </row>
    <row r="18">
      <c r="A18" s="43" t="s">
        <v>112</v>
      </c>
      <c r="B18" s="43" t="s">
        <v>117</v>
      </c>
      <c r="C18" s="174">
        <f t="array" ref="C18">INDEX('August 17-20'!AE18,0)</f>
        <v>16</v>
      </c>
      <c r="D18" s="178"/>
      <c r="E18" s="174">
        <f t="array" ref="E18">INDEX('August 24-27'!AF18,0)</f>
        <v>17.5</v>
      </c>
      <c r="F18" s="51"/>
      <c r="G18" s="174">
        <f t="array" ref="G18">INDEX('August 31-03'!AE18,0)</f>
        <v>15.5</v>
      </c>
      <c r="H18" s="175"/>
      <c r="I18" s="174">
        <f t="array" ref="I18">INDEX('September 07-10'!AE18,0)</f>
        <v>15.5</v>
      </c>
      <c r="J18" s="51"/>
      <c r="K18" s="174">
        <f t="shared" si="1"/>
        <v>-6.5</v>
      </c>
      <c r="L18" s="174">
        <f t="shared" si="2"/>
        <v>64.5</v>
      </c>
      <c r="M18" s="176">
        <f t="shared" si="3"/>
        <v>0.8958333333</v>
      </c>
      <c r="N18" s="177"/>
      <c r="O18" s="174">
        <f t="array" ref="O18">INDEX('September 14-17'!AE18,0)</f>
        <v>16</v>
      </c>
      <c r="P18" s="51"/>
      <c r="Q18" s="175">
        <v>0.0</v>
      </c>
      <c r="R18" s="51"/>
      <c r="S18" s="174">
        <v>0.0</v>
      </c>
      <c r="T18" s="51"/>
      <c r="U18" s="174">
        <v>0.0</v>
      </c>
      <c r="V18" s="174">
        <f t="shared" si="4"/>
        <v>16</v>
      </c>
      <c r="W18" s="176">
        <f t="shared" ref="W18:W21" si="16">V18/60</f>
        <v>0.2666666667</v>
      </c>
      <c r="X18" s="174">
        <f t="shared" ref="X18:X21" si="17">48-V18</f>
        <v>32</v>
      </c>
    </row>
    <row r="19">
      <c r="A19" s="43" t="s">
        <v>126</v>
      </c>
      <c r="B19" s="43" t="s">
        <v>127</v>
      </c>
      <c r="C19" s="101">
        <f t="array" ref="C19">INDEX('August 17-20'!AE19,0)</f>
        <v>11</v>
      </c>
      <c r="D19" s="178" t="s">
        <v>630</v>
      </c>
      <c r="E19" s="174">
        <f t="array" ref="E19">INDEX('August 24-27'!AF19,0)</f>
        <v>16.5</v>
      </c>
      <c r="F19" s="175"/>
      <c r="G19" s="174">
        <f t="array" ref="G19">INDEX('August 31-03'!AE19,0)</f>
        <v>16</v>
      </c>
      <c r="H19" s="178"/>
      <c r="I19" s="174">
        <f t="array" ref="I19">INDEX('September 07-10'!AE19,0)</f>
        <v>16.5</v>
      </c>
      <c r="J19" s="51"/>
      <c r="K19" s="174">
        <f t="shared" si="1"/>
        <v>-2</v>
      </c>
      <c r="L19" s="174">
        <f t="shared" si="2"/>
        <v>60</v>
      </c>
      <c r="M19" s="176">
        <f t="shared" si="3"/>
        <v>0.8333333333</v>
      </c>
      <c r="N19" s="177"/>
      <c r="O19" s="174">
        <f t="array" ref="O19">INDEX('September 14-17'!AE19,0)</f>
        <v>14</v>
      </c>
      <c r="P19" s="175"/>
      <c r="Q19" s="51">
        <v>0.0</v>
      </c>
      <c r="R19" s="2"/>
      <c r="S19" s="174">
        <v>0.0</v>
      </c>
      <c r="T19" s="51"/>
      <c r="U19" s="174">
        <v>0.0</v>
      </c>
      <c r="V19" s="174">
        <f t="shared" si="4"/>
        <v>14</v>
      </c>
      <c r="W19" s="176">
        <f t="shared" si="16"/>
        <v>0.2333333333</v>
      </c>
      <c r="X19" s="174">
        <f t="shared" si="17"/>
        <v>34</v>
      </c>
    </row>
    <row r="20">
      <c r="A20" s="54" t="s">
        <v>135</v>
      </c>
      <c r="B20" s="54" t="s">
        <v>136</v>
      </c>
      <c r="C20" s="101">
        <f t="array" ref="C20">INDEX('August 17-20'!AE21,0)</f>
        <v>13.5</v>
      </c>
      <c r="D20" s="178" t="s">
        <v>630</v>
      </c>
      <c r="E20" s="174">
        <f t="array" ref="E20">INDEX('August 24-27'!AF21,0)</f>
        <v>18</v>
      </c>
      <c r="F20" s="51"/>
      <c r="G20" s="174">
        <f t="array" ref="G20">INDEX('August 31-03'!AE21,0)</f>
        <v>16</v>
      </c>
      <c r="H20" s="175"/>
      <c r="I20" s="174">
        <f t="array" ref="I20:I55">INDEX('September 07-10'!AE21:AE56,0)</f>
        <v>13.5</v>
      </c>
      <c r="J20" s="51"/>
      <c r="K20" s="174">
        <f t="shared" si="1"/>
        <v>-3</v>
      </c>
      <c r="L20" s="174">
        <f t="shared" si="2"/>
        <v>61</v>
      </c>
      <c r="M20" s="176">
        <f t="shared" si="3"/>
        <v>0.8472222222</v>
      </c>
      <c r="N20" s="177"/>
      <c r="O20" s="174">
        <f t="array" ref="O20:O55">INDEX('September 14-17'!AE21:AE56,0)</f>
        <v>14</v>
      </c>
      <c r="P20" s="51"/>
      <c r="Q20" s="51">
        <v>0.0</v>
      </c>
      <c r="R20" s="175"/>
      <c r="S20" s="174">
        <v>0.0</v>
      </c>
      <c r="T20" s="51"/>
      <c r="U20" s="174">
        <v>0.0</v>
      </c>
      <c r="V20" s="174">
        <f t="shared" si="4"/>
        <v>14</v>
      </c>
      <c r="W20" s="176">
        <f t="shared" si="16"/>
        <v>0.2333333333</v>
      </c>
      <c r="X20" s="174">
        <f t="shared" si="17"/>
        <v>34</v>
      </c>
    </row>
    <row r="21">
      <c r="A21" s="43" t="s">
        <v>138</v>
      </c>
      <c r="B21" s="43" t="s">
        <v>139</v>
      </c>
      <c r="C21" s="174">
        <f t="array" ref="C21">INDEX('August 17-20'!AE22,0)</f>
        <v>16</v>
      </c>
      <c r="D21" s="51"/>
      <c r="E21" s="174">
        <f t="array" ref="E21:E55">INDEX('August 24-27'!AF22:AF56,0)</f>
        <v>17.5</v>
      </c>
      <c r="F21" s="51"/>
      <c r="G21" s="174">
        <f t="array" ref="G21:G55">INDEX('August 31-03'!AE22:AE56,0)</f>
        <v>15</v>
      </c>
      <c r="H21" s="175"/>
      <c r="I21" s="174">
        <v>14.0</v>
      </c>
      <c r="J21" s="51"/>
      <c r="K21" s="174">
        <f t="shared" si="1"/>
        <v>-4.5</v>
      </c>
      <c r="L21" s="174">
        <f t="shared" si="2"/>
        <v>62.5</v>
      </c>
      <c r="M21" s="176">
        <f t="shared" si="3"/>
        <v>0.8680555556</v>
      </c>
      <c r="N21" s="177"/>
      <c r="O21" s="174">
        <v>11.5</v>
      </c>
      <c r="P21" s="51"/>
      <c r="Q21" s="175">
        <v>0.0</v>
      </c>
      <c r="R21" s="2"/>
      <c r="S21" s="174">
        <v>0.0</v>
      </c>
      <c r="T21" s="51"/>
      <c r="U21" s="174">
        <v>0.0</v>
      </c>
      <c r="V21" s="174">
        <f t="shared" si="4"/>
        <v>11.5</v>
      </c>
      <c r="W21" s="176">
        <f t="shared" si="16"/>
        <v>0.1916666667</v>
      </c>
      <c r="X21" s="174">
        <f t="shared" si="17"/>
        <v>36.5</v>
      </c>
    </row>
    <row r="22">
      <c r="A22" s="43" t="s">
        <v>146</v>
      </c>
      <c r="B22" s="43" t="s">
        <v>149</v>
      </c>
      <c r="C22" s="174">
        <f t="array" ref="C22:C55">INDEX('August 17-20'!AE23:AE56,0)</f>
        <v>18</v>
      </c>
      <c r="D22" s="51"/>
      <c r="E22" s="174">
        <v>20.0</v>
      </c>
      <c r="F22" s="51"/>
      <c r="G22" s="174">
        <v>16.0</v>
      </c>
      <c r="H22" s="175"/>
      <c r="I22" s="174">
        <v>16.0</v>
      </c>
      <c r="J22" s="51"/>
      <c r="K22" s="174">
        <f t="shared" si="1"/>
        <v>-12</v>
      </c>
      <c r="L22" s="174">
        <f t="shared" si="2"/>
        <v>70</v>
      </c>
      <c r="M22" s="176">
        <f t="shared" si="3"/>
        <v>0.9722222222</v>
      </c>
      <c r="N22" s="177"/>
      <c r="O22" s="101">
        <v>12.0</v>
      </c>
      <c r="P22" s="178" t="s">
        <v>629</v>
      </c>
      <c r="Q22" s="51">
        <v>0.0</v>
      </c>
      <c r="R22" s="175"/>
      <c r="S22" s="174">
        <v>0.0</v>
      </c>
      <c r="T22" s="51"/>
      <c r="U22" s="174">
        <v>0.0</v>
      </c>
      <c r="V22" s="174">
        <f t="shared" si="4"/>
        <v>12</v>
      </c>
      <c r="W22" s="176">
        <f t="shared" ref="W22:W23" si="18">V22/66</f>
        <v>0.1818181818</v>
      </c>
      <c r="X22" s="174">
        <f t="shared" ref="X22:X23" si="19">53-V22</f>
        <v>41</v>
      </c>
    </row>
    <row r="23">
      <c r="A23" s="74" t="s">
        <v>153</v>
      </c>
      <c r="B23" s="74" t="s">
        <v>154</v>
      </c>
      <c r="C23" s="174">
        <v>17.5</v>
      </c>
      <c r="D23" s="51"/>
      <c r="E23" s="174">
        <v>14.5</v>
      </c>
      <c r="F23" s="51"/>
      <c r="G23" s="174">
        <v>14.5</v>
      </c>
      <c r="H23" s="175"/>
      <c r="I23" s="174">
        <v>14.0</v>
      </c>
      <c r="J23" s="175"/>
      <c r="K23" s="174">
        <f t="shared" si="1"/>
        <v>-2.5</v>
      </c>
      <c r="L23" s="174">
        <f t="shared" si="2"/>
        <v>60.5</v>
      </c>
      <c r="M23" s="176">
        <f t="shared" si="3"/>
        <v>0.8402777778</v>
      </c>
      <c r="N23" s="177"/>
      <c r="O23" s="101">
        <v>7.0</v>
      </c>
      <c r="P23" s="178" t="s">
        <v>629</v>
      </c>
      <c r="Q23" s="51">
        <v>0.0</v>
      </c>
      <c r="R23" s="2"/>
      <c r="S23" s="174">
        <v>0.0</v>
      </c>
      <c r="T23" s="51"/>
      <c r="U23" s="174">
        <v>0.0</v>
      </c>
      <c r="V23" s="174">
        <f t="shared" si="4"/>
        <v>7</v>
      </c>
      <c r="W23" s="176">
        <f t="shared" si="18"/>
        <v>0.1060606061</v>
      </c>
      <c r="X23" s="174">
        <f t="shared" si="19"/>
        <v>46</v>
      </c>
    </row>
    <row r="24">
      <c r="A24" s="54" t="s">
        <v>162</v>
      </c>
      <c r="B24" s="54" t="s">
        <v>163</v>
      </c>
      <c r="C24" s="174">
        <v>15.5</v>
      </c>
      <c r="D24" s="51"/>
      <c r="E24" s="174">
        <v>18.0</v>
      </c>
      <c r="F24" s="51"/>
      <c r="G24" s="174">
        <v>18.0</v>
      </c>
      <c r="H24" s="175"/>
      <c r="I24" s="174">
        <v>13.5</v>
      </c>
      <c r="J24" s="51"/>
      <c r="K24" s="174">
        <f t="shared" si="1"/>
        <v>-7</v>
      </c>
      <c r="L24" s="174">
        <f t="shared" si="2"/>
        <v>65</v>
      </c>
      <c r="M24" s="176">
        <f t="shared" si="3"/>
        <v>0.9027777778</v>
      </c>
      <c r="N24" s="177"/>
      <c r="O24" s="174">
        <v>12.0</v>
      </c>
      <c r="P24" s="51"/>
      <c r="Q24" s="51">
        <v>0.0</v>
      </c>
      <c r="R24" s="175"/>
      <c r="S24" s="174">
        <v>0.0</v>
      </c>
      <c r="T24" s="51"/>
      <c r="U24" s="174">
        <v>0.0</v>
      </c>
      <c r="V24" s="174">
        <f t="shared" si="4"/>
        <v>12</v>
      </c>
      <c r="W24" s="176">
        <f>V24/60</f>
        <v>0.2</v>
      </c>
      <c r="X24" s="174">
        <f>48-V24</f>
        <v>36</v>
      </c>
    </row>
    <row r="25">
      <c r="A25" s="74" t="s">
        <v>165</v>
      </c>
      <c r="B25" s="74" t="s">
        <v>166</v>
      </c>
      <c r="C25" s="101">
        <v>12.0</v>
      </c>
      <c r="D25" s="178" t="s">
        <v>630</v>
      </c>
      <c r="E25" s="174">
        <v>18.0</v>
      </c>
      <c r="F25" s="175"/>
      <c r="G25" s="174">
        <v>14.0</v>
      </c>
      <c r="H25" s="175"/>
      <c r="I25" s="174">
        <v>16.0</v>
      </c>
      <c r="J25" s="175"/>
      <c r="K25" s="174">
        <f t="shared" si="1"/>
        <v>-2</v>
      </c>
      <c r="L25" s="174">
        <f t="shared" si="2"/>
        <v>60</v>
      </c>
      <c r="M25" s="176">
        <f t="shared" si="3"/>
        <v>0.8333333333</v>
      </c>
      <c r="N25" s="175"/>
      <c r="O25" s="101">
        <v>12.0</v>
      </c>
      <c r="P25" s="178" t="s">
        <v>629</v>
      </c>
      <c r="Q25" s="51">
        <v>0.0</v>
      </c>
      <c r="R25" s="2"/>
      <c r="S25" s="174">
        <v>0.0</v>
      </c>
      <c r="T25" s="51"/>
      <c r="U25" s="174">
        <v>0.0</v>
      </c>
      <c r="V25" s="174">
        <f t="shared" si="4"/>
        <v>12</v>
      </c>
      <c r="W25" s="176">
        <f t="shared" ref="W25:W28" si="20">V25/66</f>
        <v>0.1818181818</v>
      </c>
      <c r="X25" s="174">
        <f t="shared" ref="X25:X28" si="21">53-V25</f>
        <v>41</v>
      </c>
    </row>
    <row r="26">
      <c r="A26" s="43" t="s">
        <v>175</v>
      </c>
      <c r="B26" s="43" t="s">
        <v>80</v>
      </c>
      <c r="C26" s="174">
        <v>14.0</v>
      </c>
      <c r="D26" s="178"/>
      <c r="E26" s="174">
        <v>17.5</v>
      </c>
      <c r="F26" s="51"/>
      <c r="G26" s="101">
        <v>13.5</v>
      </c>
      <c r="H26" s="178" t="s">
        <v>631</v>
      </c>
      <c r="I26" s="174">
        <v>15.5</v>
      </c>
      <c r="J26" s="51"/>
      <c r="K26" s="174">
        <f t="shared" si="1"/>
        <v>-2.5</v>
      </c>
      <c r="L26" s="174">
        <f t="shared" si="2"/>
        <v>60.5</v>
      </c>
      <c r="M26" s="176">
        <f t="shared" si="3"/>
        <v>0.8402777778</v>
      </c>
      <c r="N26" s="177"/>
      <c r="O26" s="174">
        <v>16.0</v>
      </c>
      <c r="P26" s="51"/>
      <c r="Q26" s="175">
        <v>0.0</v>
      </c>
      <c r="R26" s="2"/>
      <c r="S26" s="174">
        <v>0.0</v>
      </c>
      <c r="T26" s="51"/>
      <c r="U26" s="174">
        <v>0.0</v>
      </c>
      <c r="V26" s="174">
        <f t="shared" si="4"/>
        <v>16</v>
      </c>
      <c r="W26" s="176">
        <f t="shared" si="20"/>
        <v>0.2424242424</v>
      </c>
      <c r="X26" s="174">
        <f t="shared" si="21"/>
        <v>37</v>
      </c>
    </row>
    <row r="27">
      <c r="A27" s="46" t="s">
        <v>180</v>
      </c>
      <c r="B27" s="46" t="s">
        <v>181</v>
      </c>
      <c r="C27" s="174">
        <v>18.0</v>
      </c>
      <c r="D27" s="51"/>
      <c r="E27" s="101">
        <v>14.0</v>
      </c>
      <c r="F27" s="178" t="s">
        <v>632</v>
      </c>
      <c r="G27" s="174">
        <v>16.0</v>
      </c>
      <c r="H27" s="175"/>
      <c r="I27" s="174">
        <v>14.0</v>
      </c>
      <c r="J27" s="175"/>
      <c r="K27" s="174">
        <f t="shared" si="1"/>
        <v>-4</v>
      </c>
      <c r="L27" s="174">
        <f t="shared" si="2"/>
        <v>62</v>
      </c>
      <c r="M27" s="176">
        <f t="shared" si="3"/>
        <v>0.8611111111</v>
      </c>
      <c r="N27" s="175"/>
      <c r="O27" s="174">
        <v>14.0</v>
      </c>
      <c r="P27" s="175"/>
      <c r="Q27" s="175">
        <v>0.0</v>
      </c>
      <c r="R27" s="2"/>
      <c r="S27" s="174">
        <v>0.0</v>
      </c>
      <c r="T27" s="51"/>
      <c r="U27" s="174">
        <v>0.0</v>
      </c>
      <c r="V27" s="174">
        <f t="shared" si="4"/>
        <v>14</v>
      </c>
      <c r="W27" s="176">
        <f t="shared" si="20"/>
        <v>0.2121212121</v>
      </c>
      <c r="X27" s="174">
        <f t="shared" si="21"/>
        <v>39</v>
      </c>
    </row>
    <row r="28">
      <c r="A28" s="74" t="s">
        <v>184</v>
      </c>
      <c r="B28" s="74" t="s">
        <v>185</v>
      </c>
      <c r="C28" s="101">
        <v>12.0</v>
      </c>
      <c r="D28" s="178" t="s">
        <v>630</v>
      </c>
      <c r="E28" s="174">
        <v>18.0</v>
      </c>
      <c r="F28" s="175"/>
      <c r="G28" s="174">
        <v>14.0</v>
      </c>
      <c r="H28" s="175"/>
      <c r="I28" s="174">
        <v>14.0</v>
      </c>
      <c r="J28" s="175"/>
      <c r="K28" s="174">
        <f t="shared" si="1"/>
        <v>0</v>
      </c>
      <c r="L28" s="174">
        <f t="shared" si="2"/>
        <v>58</v>
      </c>
      <c r="M28" s="176">
        <f t="shared" si="3"/>
        <v>0.8055555556</v>
      </c>
      <c r="N28" s="177"/>
      <c r="O28" s="101">
        <v>8.0</v>
      </c>
      <c r="P28" s="178" t="s">
        <v>629</v>
      </c>
      <c r="Q28" s="51">
        <v>0.0</v>
      </c>
      <c r="R28" s="175"/>
      <c r="S28" s="174">
        <v>0.0</v>
      </c>
      <c r="T28" s="51"/>
      <c r="U28" s="174">
        <v>0.0</v>
      </c>
      <c r="V28" s="174">
        <f t="shared" si="4"/>
        <v>8</v>
      </c>
      <c r="W28" s="176">
        <f t="shared" si="20"/>
        <v>0.1212121212</v>
      </c>
      <c r="X28" s="174">
        <f t="shared" si="21"/>
        <v>45</v>
      </c>
    </row>
    <row r="29">
      <c r="A29" s="54" t="s">
        <v>193</v>
      </c>
      <c r="B29" s="54" t="s">
        <v>194</v>
      </c>
      <c r="C29" s="174">
        <v>14.5</v>
      </c>
      <c r="D29" s="51"/>
      <c r="E29" s="101">
        <v>13.5</v>
      </c>
      <c r="F29" s="178" t="s">
        <v>632</v>
      </c>
      <c r="G29" s="174">
        <v>17.5</v>
      </c>
      <c r="H29" s="175"/>
      <c r="I29" s="174">
        <v>15.0</v>
      </c>
      <c r="J29" s="51"/>
      <c r="K29" s="174">
        <f t="shared" si="1"/>
        <v>-2.5</v>
      </c>
      <c r="L29" s="174">
        <f t="shared" si="2"/>
        <v>60.5</v>
      </c>
      <c r="M29" s="176">
        <f t="shared" si="3"/>
        <v>0.8402777778</v>
      </c>
      <c r="N29" s="177"/>
      <c r="O29" s="174">
        <v>13.5</v>
      </c>
      <c r="P29" s="51"/>
      <c r="Q29" s="51">
        <v>0.0</v>
      </c>
      <c r="R29" s="51"/>
      <c r="S29" s="174">
        <v>0.0</v>
      </c>
      <c r="T29" s="51"/>
      <c r="U29" s="174">
        <v>0.0</v>
      </c>
      <c r="V29" s="174">
        <f t="shared" si="4"/>
        <v>13.5</v>
      </c>
      <c r="W29" s="176">
        <f t="shared" ref="W29:W30" si="22">V29/60</f>
        <v>0.225</v>
      </c>
      <c r="X29" s="174">
        <f t="shared" ref="X29:X30" si="23">48-V29</f>
        <v>34.5</v>
      </c>
    </row>
    <row r="30">
      <c r="A30" s="54" t="s">
        <v>199</v>
      </c>
      <c r="B30" s="54" t="s">
        <v>200</v>
      </c>
      <c r="C30" s="174">
        <v>16.0</v>
      </c>
      <c r="D30" s="51"/>
      <c r="E30" s="174">
        <v>16.0</v>
      </c>
      <c r="F30" s="175"/>
      <c r="G30" s="174">
        <v>16.0</v>
      </c>
      <c r="H30" s="175"/>
      <c r="I30" s="174">
        <v>14.0</v>
      </c>
      <c r="J30" s="175"/>
      <c r="K30" s="174">
        <f t="shared" si="1"/>
        <v>-4</v>
      </c>
      <c r="L30" s="174">
        <f t="shared" si="2"/>
        <v>62</v>
      </c>
      <c r="M30" s="176">
        <f t="shared" si="3"/>
        <v>0.8611111111</v>
      </c>
      <c r="N30" s="177"/>
      <c r="O30" s="174">
        <v>16.0</v>
      </c>
      <c r="P30" s="51"/>
      <c r="Q30" s="51">
        <v>0.0</v>
      </c>
      <c r="R30" s="175"/>
      <c r="S30" s="174">
        <v>0.0</v>
      </c>
      <c r="T30" s="175"/>
      <c r="U30" s="174">
        <v>0.0</v>
      </c>
      <c r="V30" s="174">
        <f t="shared" si="4"/>
        <v>16</v>
      </c>
      <c r="W30" s="176">
        <f t="shared" si="22"/>
        <v>0.2666666667</v>
      </c>
      <c r="X30" s="174">
        <f t="shared" si="23"/>
        <v>32</v>
      </c>
    </row>
    <row r="31">
      <c r="A31" s="46" t="s">
        <v>206</v>
      </c>
      <c r="B31" s="46" t="s">
        <v>397</v>
      </c>
      <c r="C31" s="174">
        <v>16.0</v>
      </c>
      <c r="D31" s="51"/>
      <c r="E31" s="174">
        <v>18.0</v>
      </c>
      <c r="F31" s="51"/>
      <c r="G31" s="174">
        <v>16.0</v>
      </c>
      <c r="H31" s="175"/>
      <c r="I31" s="174">
        <v>16.0</v>
      </c>
      <c r="J31" s="51"/>
      <c r="K31" s="174">
        <f t="shared" si="1"/>
        <v>-8</v>
      </c>
      <c r="L31" s="174">
        <f t="shared" si="2"/>
        <v>66</v>
      </c>
      <c r="M31" s="176">
        <f t="shared" si="3"/>
        <v>0.9166666667</v>
      </c>
      <c r="N31" s="177"/>
      <c r="O31" s="174">
        <v>16.0</v>
      </c>
      <c r="P31" s="51"/>
      <c r="Q31" s="51">
        <v>0.0</v>
      </c>
      <c r="R31" s="51"/>
      <c r="S31" s="174">
        <v>0.0</v>
      </c>
      <c r="T31" s="51"/>
      <c r="U31" s="174">
        <v>0.0</v>
      </c>
      <c r="V31" s="174">
        <f t="shared" si="4"/>
        <v>16</v>
      </c>
      <c r="W31" s="176">
        <f t="shared" ref="W31:W37" si="24">V31/66</f>
        <v>0.2424242424</v>
      </c>
      <c r="X31" s="174">
        <f t="shared" ref="X31:X37" si="25">53-V31</f>
        <v>37</v>
      </c>
    </row>
    <row r="32">
      <c r="A32" s="36" t="s">
        <v>210</v>
      </c>
      <c r="B32" s="36" t="s">
        <v>211</v>
      </c>
      <c r="C32" s="2">
        <v>15.5</v>
      </c>
      <c r="D32" s="51"/>
      <c r="E32" s="180">
        <v>14.0</v>
      </c>
      <c r="F32" s="178" t="s">
        <v>632</v>
      </c>
      <c r="G32" s="51">
        <v>16.0</v>
      </c>
      <c r="H32" s="178"/>
      <c r="I32" s="2">
        <v>15.0</v>
      </c>
      <c r="J32" s="51"/>
      <c r="K32" s="174">
        <f t="shared" si="1"/>
        <v>-2.5</v>
      </c>
      <c r="L32" s="174">
        <f t="shared" si="2"/>
        <v>60.5</v>
      </c>
      <c r="M32" s="176">
        <f t="shared" si="3"/>
        <v>0.8402777778</v>
      </c>
      <c r="N32" s="177"/>
      <c r="O32" s="2">
        <v>11.0</v>
      </c>
      <c r="P32" s="51"/>
      <c r="Q32" s="2">
        <v>0.0</v>
      </c>
      <c r="R32" s="51"/>
      <c r="S32" s="2">
        <v>0.0</v>
      </c>
      <c r="T32" s="175"/>
      <c r="U32" s="2">
        <v>0.0</v>
      </c>
      <c r="V32" s="174">
        <f t="shared" si="4"/>
        <v>11</v>
      </c>
      <c r="W32" s="176">
        <f t="shared" si="24"/>
        <v>0.1666666667</v>
      </c>
      <c r="X32" s="174">
        <f t="shared" si="25"/>
        <v>42</v>
      </c>
    </row>
    <row r="33">
      <c r="A33" s="43" t="s">
        <v>219</v>
      </c>
      <c r="B33" s="43" t="s">
        <v>415</v>
      </c>
      <c r="C33" s="2">
        <v>18.0</v>
      </c>
      <c r="D33" s="2"/>
      <c r="E33" s="2">
        <v>18.0</v>
      </c>
      <c r="F33" s="2"/>
      <c r="G33" s="2">
        <v>18.0</v>
      </c>
      <c r="H33" s="2"/>
      <c r="I33" s="2">
        <v>12.0</v>
      </c>
      <c r="J33" s="2"/>
      <c r="K33" s="174">
        <f t="shared" si="1"/>
        <v>-8</v>
      </c>
      <c r="L33" s="174">
        <f t="shared" si="2"/>
        <v>66</v>
      </c>
      <c r="M33" s="176">
        <f t="shared" si="3"/>
        <v>0.9166666667</v>
      </c>
      <c r="N33" s="2"/>
      <c r="O33" s="2">
        <v>12.0</v>
      </c>
      <c r="P33" s="2"/>
      <c r="Q33" s="2">
        <v>0.0</v>
      </c>
      <c r="R33" s="2"/>
      <c r="S33" s="2">
        <v>0.0</v>
      </c>
      <c r="T33" s="2"/>
      <c r="U33" s="2">
        <v>0.0</v>
      </c>
      <c r="V33" s="174">
        <f t="shared" si="4"/>
        <v>12</v>
      </c>
      <c r="W33" s="176">
        <f t="shared" si="24"/>
        <v>0.1818181818</v>
      </c>
      <c r="X33" s="174">
        <f t="shared" si="25"/>
        <v>41</v>
      </c>
    </row>
    <row r="34">
      <c r="A34" s="43" t="s">
        <v>219</v>
      </c>
      <c r="B34" s="43" t="s">
        <v>225</v>
      </c>
      <c r="C34" s="2">
        <v>18.0</v>
      </c>
      <c r="D34" s="2"/>
      <c r="E34" s="2">
        <v>18.0</v>
      </c>
      <c r="F34" s="2"/>
      <c r="G34" s="2">
        <v>18.0</v>
      </c>
      <c r="H34" s="2"/>
      <c r="I34" s="2">
        <v>18.0</v>
      </c>
      <c r="J34" s="2"/>
      <c r="K34" s="174">
        <f t="shared" si="1"/>
        <v>-14</v>
      </c>
      <c r="L34" s="174">
        <f t="shared" si="2"/>
        <v>72</v>
      </c>
      <c r="M34" s="176">
        <f t="shared" si="3"/>
        <v>1</v>
      </c>
      <c r="N34" s="2"/>
      <c r="O34" s="2">
        <v>16.0</v>
      </c>
      <c r="P34" s="2"/>
      <c r="Q34" s="2">
        <v>0.0</v>
      </c>
      <c r="R34" s="2"/>
      <c r="S34" s="2">
        <v>0.0</v>
      </c>
      <c r="T34" s="2"/>
      <c r="U34" s="2">
        <v>0.0</v>
      </c>
      <c r="V34" s="174">
        <f t="shared" si="4"/>
        <v>16</v>
      </c>
      <c r="W34" s="176">
        <f t="shared" si="24"/>
        <v>0.2424242424</v>
      </c>
      <c r="X34" s="174">
        <f t="shared" si="25"/>
        <v>37</v>
      </c>
    </row>
    <row r="35">
      <c r="A35" s="99" t="s">
        <v>233</v>
      </c>
      <c r="B35" s="99" t="s">
        <v>234</v>
      </c>
      <c r="C35" s="2">
        <v>16.0</v>
      </c>
      <c r="D35" s="2"/>
      <c r="E35" s="2">
        <v>18.0</v>
      </c>
      <c r="F35" s="2"/>
      <c r="G35" s="2">
        <v>14.0</v>
      </c>
      <c r="H35" s="2"/>
      <c r="I35" s="2">
        <v>12.0</v>
      </c>
      <c r="J35" s="2"/>
      <c r="K35" s="174">
        <f t="shared" si="1"/>
        <v>-2</v>
      </c>
      <c r="L35" s="174">
        <f t="shared" si="2"/>
        <v>60</v>
      </c>
      <c r="M35" s="176">
        <f t="shared" si="3"/>
        <v>0.8333333333</v>
      </c>
      <c r="N35" s="2"/>
      <c r="O35" s="180">
        <v>12.0</v>
      </c>
      <c r="P35" s="178" t="s">
        <v>629</v>
      </c>
      <c r="Q35" s="2">
        <v>0.0</v>
      </c>
      <c r="R35" s="2"/>
      <c r="S35" s="2">
        <v>0.0</v>
      </c>
      <c r="T35" s="2"/>
      <c r="U35" s="2">
        <v>0.0</v>
      </c>
      <c r="V35" s="174">
        <f t="shared" si="4"/>
        <v>12</v>
      </c>
      <c r="W35" s="176">
        <f t="shared" si="24"/>
        <v>0.1818181818</v>
      </c>
      <c r="X35" s="174">
        <f t="shared" si="25"/>
        <v>41</v>
      </c>
    </row>
    <row r="36">
      <c r="A36" s="114" t="s">
        <v>243</v>
      </c>
      <c r="B36" s="114" t="s">
        <v>244</v>
      </c>
      <c r="C36" s="2">
        <v>17.0</v>
      </c>
      <c r="D36" s="2"/>
      <c r="E36" s="2">
        <v>16.0</v>
      </c>
      <c r="F36" s="2"/>
      <c r="G36" s="2">
        <v>14.0</v>
      </c>
      <c r="H36" s="2"/>
      <c r="I36" s="2">
        <v>13.0</v>
      </c>
      <c r="J36" s="2"/>
      <c r="K36" s="174">
        <f t="shared" si="1"/>
        <v>-2</v>
      </c>
      <c r="L36" s="174">
        <f t="shared" si="2"/>
        <v>60</v>
      </c>
      <c r="M36" s="176">
        <f t="shared" si="3"/>
        <v>0.8333333333</v>
      </c>
      <c r="N36" s="2"/>
      <c r="O36" s="2">
        <v>3.5</v>
      </c>
      <c r="P36" s="2"/>
      <c r="Q36" s="2">
        <v>0.0</v>
      </c>
      <c r="R36" s="2"/>
      <c r="S36" s="2">
        <v>0.0</v>
      </c>
      <c r="T36" s="2"/>
      <c r="U36" s="2">
        <v>0.0</v>
      </c>
      <c r="V36" s="174">
        <f t="shared" si="4"/>
        <v>3.5</v>
      </c>
      <c r="W36" s="176">
        <f t="shared" si="24"/>
        <v>0.05303030303</v>
      </c>
      <c r="X36" s="174">
        <f t="shared" si="25"/>
        <v>49.5</v>
      </c>
    </row>
    <row r="37">
      <c r="A37" s="43" t="s">
        <v>435</v>
      </c>
      <c r="B37" s="43" t="s">
        <v>633</v>
      </c>
      <c r="C37" s="2">
        <v>18.0</v>
      </c>
      <c r="D37" s="2"/>
      <c r="E37" s="51">
        <v>17.5</v>
      </c>
      <c r="F37" s="2"/>
      <c r="G37" s="2">
        <v>16.0</v>
      </c>
      <c r="H37" s="2"/>
      <c r="I37" s="2">
        <v>10.0</v>
      </c>
      <c r="J37" s="178" t="s">
        <v>634</v>
      </c>
      <c r="K37" s="174">
        <f t="shared" si="1"/>
        <v>-3.5</v>
      </c>
      <c r="L37" s="174">
        <f t="shared" si="2"/>
        <v>61.5</v>
      </c>
      <c r="M37" s="176">
        <f t="shared" si="3"/>
        <v>0.8541666667</v>
      </c>
      <c r="N37" s="2"/>
      <c r="O37" s="2">
        <v>16.0</v>
      </c>
      <c r="P37" s="2"/>
      <c r="Q37" s="2">
        <v>0.0</v>
      </c>
      <c r="R37" s="2"/>
      <c r="S37" s="2">
        <v>0.0</v>
      </c>
      <c r="T37" s="2"/>
      <c r="U37" s="2">
        <v>0.0</v>
      </c>
      <c r="V37" s="174">
        <f t="shared" si="4"/>
        <v>16</v>
      </c>
      <c r="W37" s="176">
        <f t="shared" si="24"/>
        <v>0.2424242424</v>
      </c>
      <c r="X37" s="174">
        <f t="shared" si="25"/>
        <v>37</v>
      </c>
    </row>
    <row r="38">
      <c r="A38" s="46" t="s">
        <v>261</v>
      </c>
      <c r="B38" s="46" t="s">
        <v>444</v>
      </c>
      <c r="C38" s="2">
        <v>13.5</v>
      </c>
      <c r="D38" s="2"/>
      <c r="E38" s="2">
        <v>18.0</v>
      </c>
      <c r="F38" s="2"/>
      <c r="G38" s="2">
        <v>15.5</v>
      </c>
      <c r="H38" s="2"/>
      <c r="I38" s="2">
        <v>13.5</v>
      </c>
      <c r="J38" s="2"/>
      <c r="K38" s="174">
        <f t="shared" si="1"/>
        <v>-2.5</v>
      </c>
      <c r="L38" s="174">
        <f t="shared" si="2"/>
        <v>60.5</v>
      </c>
      <c r="M38" s="176">
        <f t="shared" si="3"/>
        <v>0.8402777778</v>
      </c>
      <c r="N38" s="2"/>
      <c r="O38" s="2">
        <v>13.5</v>
      </c>
      <c r="P38" s="2"/>
      <c r="Q38" s="2">
        <v>0.0</v>
      </c>
      <c r="R38" s="2"/>
      <c r="S38" s="2">
        <v>0.0</v>
      </c>
      <c r="T38" s="2"/>
      <c r="U38" s="2">
        <v>0.0</v>
      </c>
      <c r="V38" s="174">
        <f t="shared" si="4"/>
        <v>13.5</v>
      </c>
      <c r="W38" s="176">
        <f t="shared" ref="W38:W39" si="26">V38/60</f>
        <v>0.225</v>
      </c>
      <c r="X38" s="174">
        <f t="shared" ref="X38:X39" si="27">48-V38</f>
        <v>34.5</v>
      </c>
    </row>
    <row r="39">
      <c r="A39" s="46" t="s">
        <v>270</v>
      </c>
      <c r="B39" s="46" t="s">
        <v>271</v>
      </c>
      <c r="C39" s="2">
        <v>16.0</v>
      </c>
      <c r="D39" s="2"/>
      <c r="E39" s="2">
        <v>17.5</v>
      </c>
      <c r="F39" s="2"/>
      <c r="G39" s="2">
        <v>15.5</v>
      </c>
      <c r="H39" s="2"/>
      <c r="I39" s="2">
        <v>12.0</v>
      </c>
      <c r="J39" s="2"/>
      <c r="K39" s="174">
        <f t="shared" si="1"/>
        <v>-3</v>
      </c>
      <c r="L39" s="174">
        <f t="shared" si="2"/>
        <v>61</v>
      </c>
      <c r="M39" s="176">
        <f t="shared" si="3"/>
        <v>0.8472222222</v>
      </c>
      <c r="N39" s="2"/>
      <c r="O39" s="180">
        <v>12.0</v>
      </c>
      <c r="P39" s="178" t="s">
        <v>629</v>
      </c>
      <c r="Q39" s="2">
        <v>0.0</v>
      </c>
      <c r="R39" s="2"/>
      <c r="S39" s="2">
        <v>0.0</v>
      </c>
      <c r="T39" s="2"/>
      <c r="U39" s="2">
        <v>0.0</v>
      </c>
      <c r="V39" s="174">
        <f t="shared" si="4"/>
        <v>12</v>
      </c>
      <c r="W39" s="176">
        <f t="shared" si="26"/>
        <v>0.2</v>
      </c>
      <c r="X39" s="174">
        <f t="shared" si="27"/>
        <v>36</v>
      </c>
    </row>
    <row r="40">
      <c r="A40" s="74" t="s">
        <v>275</v>
      </c>
      <c r="B40" s="74" t="s">
        <v>277</v>
      </c>
      <c r="C40" s="2">
        <v>18.0</v>
      </c>
      <c r="D40" s="2"/>
      <c r="E40" s="2">
        <v>18.0</v>
      </c>
      <c r="F40" s="2"/>
      <c r="G40" s="2">
        <v>16.0</v>
      </c>
      <c r="H40" s="2"/>
      <c r="I40" s="2">
        <v>16.0</v>
      </c>
      <c r="J40" s="2"/>
      <c r="K40" s="174">
        <f t="shared" si="1"/>
        <v>-10</v>
      </c>
      <c r="L40" s="174">
        <f t="shared" si="2"/>
        <v>68</v>
      </c>
      <c r="M40" s="176">
        <f t="shared" si="3"/>
        <v>0.9444444444</v>
      </c>
      <c r="N40" s="2"/>
      <c r="O40" s="2">
        <v>12.0</v>
      </c>
      <c r="P40" s="2"/>
      <c r="Q40" s="2">
        <v>0.0</v>
      </c>
      <c r="R40" s="2"/>
      <c r="S40" s="2">
        <v>0.0</v>
      </c>
      <c r="T40" s="2"/>
      <c r="U40" s="2">
        <v>0.0</v>
      </c>
      <c r="V40" s="174">
        <f t="shared" si="4"/>
        <v>12</v>
      </c>
      <c r="W40" s="176">
        <f>V40/66</f>
        <v>0.1818181818</v>
      </c>
      <c r="X40" s="174">
        <f>53-V40</f>
        <v>41</v>
      </c>
    </row>
    <row r="41">
      <c r="A41" s="43" t="s">
        <v>281</v>
      </c>
      <c r="B41" s="43" t="s">
        <v>282</v>
      </c>
      <c r="C41" s="2">
        <v>14.0</v>
      </c>
      <c r="D41" s="2"/>
      <c r="E41" s="2">
        <v>19.0</v>
      </c>
      <c r="F41" s="2"/>
      <c r="G41" s="2">
        <v>16.0</v>
      </c>
      <c r="H41" s="2"/>
      <c r="I41" s="2">
        <v>12.0</v>
      </c>
      <c r="J41" s="2"/>
      <c r="K41" s="174">
        <f t="shared" si="1"/>
        <v>-3</v>
      </c>
      <c r="L41" s="174">
        <f t="shared" si="2"/>
        <v>61</v>
      </c>
      <c r="M41" s="176">
        <f t="shared" si="3"/>
        <v>0.8472222222</v>
      </c>
      <c r="N41" s="2"/>
      <c r="O41" s="2">
        <v>14.0</v>
      </c>
      <c r="P41" s="2"/>
      <c r="Q41" s="2">
        <v>0.0</v>
      </c>
      <c r="R41" s="2"/>
      <c r="S41" s="2">
        <v>0.0</v>
      </c>
      <c r="T41" s="2"/>
      <c r="U41" s="2">
        <v>0.0</v>
      </c>
      <c r="V41" s="174">
        <f t="shared" si="4"/>
        <v>14</v>
      </c>
      <c r="W41" s="176">
        <f>V41/60</f>
        <v>0.2333333333</v>
      </c>
      <c r="X41" s="174">
        <f>48-V41</f>
        <v>34</v>
      </c>
    </row>
    <row r="42">
      <c r="A42" s="115" t="s">
        <v>289</v>
      </c>
      <c r="B42" s="115" t="s">
        <v>246</v>
      </c>
      <c r="C42" s="2">
        <v>18.0</v>
      </c>
      <c r="D42" s="2"/>
      <c r="E42" s="2">
        <v>17.0</v>
      </c>
      <c r="F42" s="2"/>
      <c r="G42" s="2">
        <v>14.0</v>
      </c>
      <c r="H42" s="2"/>
      <c r="I42" s="2">
        <v>13.0</v>
      </c>
      <c r="J42" s="2"/>
      <c r="K42" s="174">
        <f t="shared" si="1"/>
        <v>-4</v>
      </c>
      <c r="L42" s="174">
        <f t="shared" si="2"/>
        <v>62</v>
      </c>
      <c r="M42" s="176">
        <f t="shared" si="3"/>
        <v>0.8611111111</v>
      </c>
      <c r="N42" s="2"/>
      <c r="O42" s="180">
        <v>6.5</v>
      </c>
      <c r="P42" s="178" t="s">
        <v>629</v>
      </c>
      <c r="Q42" s="2">
        <v>0.0</v>
      </c>
      <c r="R42" s="2"/>
      <c r="S42" s="2">
        <v>0.0</v>
      </c>
      <c r="T42" s="2"/>
      <c r="U42" s="2">
        <v>0.0</v>
      </c>
      <c r="V42" s="174">
        <f t="shared" si="4"/>
        <v>6.5</v>
      </c>
      <c r="W42" s="176">
        <f>V42/66</f>
        <v>0.09848484848</v>
      </c>
      <c r="X42" s="174">
        <f>53-V42</f>
        <v>46.5</v>
      </c>
    </row>
    <row r="43">
      <c r="A43" s="46" t="s">
        <v>294</v>
      </c>
      <c r="B43" s="46" t="s">
        <v>295</v>
      </c>
      <c r="C43" s="2">
        <v>16.0</v>
      </c>
      <c r="D43" s="2"/>
      <c r="E43" s="180">
        <v>14.0</v>
      </c>
      <c r="F43" s="178" t="s">
        <v>632</v>
      </c>
      <c r="G43" s="2">
        <v>16.0</v>
      </c>
      <c r="H43" s="2"/>
      <c r="I43" s="2">
        <v>14.0</v>
      </c>
      <c r="J43" s="2"/>
      <c r="K43" s="174">
        <f t="shared" si="1"/>
        <v>-2</v>
      </c>
      <c r="L43" s="174">
        <f t="shared" si="2"/>
        <v>60</v>
      </c>
      <c r="M43" s="176">
        <f t="shared" si="3"/>
        <v>0.8333333333</v>
      </c>
      <c r="N43" s="2"/>
      <c r="O43" s="2">
        <v>16.0</v>
      </c>
      <c r="P43" s="2"/>
      <c r="Q43" s="2">
        <v>0.0</v>
      </c>
      <c r="R43" s="2"/>
      <c r="S43" s="2">
        <v>0.0</v>
      </c>
      <c r="T43" s="2"/>
      <c r="U43" s="2">
        <v>0.0</v>
      </c>
      <c r="V43" s="174">
        <f t="shared" si="4"/>
        <v>16</v>
      </c>
      <c r="W43" s="176">
        <f>V43/60</f>
        <v>0.2666666667</v>
      </c>
      <c r="X43" s="174">
        <f>48-V43</f>
        <v>32</v>
      </c>
    </row>
    <row r="44">
      <c r="A44" s="36" t="s">
        <v>304</v>
      </c>
      <c r="B44" s="36" t="s">
        <v>305</v>
      </c>
      <c r="C44" s="2">
        <v>15.5</v>
      </c>
      <c r="D44" s="2"/>
      <c r="E44" s="2">
        <v>20.0</v>
      </c>
      <c r="F44" s="2"/>
      <c r="G44" s="2">
        <v>16.0</v>
      </c>
      <c r="H44" s="2"/>
      <c r="I44" s="2">
        <v>14.0</v>
      </c>
      <c r="J44" s="2"/>
      <c r="K44" s="174">
        <f t="shared" si="1"/>
        <v>-7.5</v>
      </c>
      <c r="L44" s="174">
        <f t="shared" si="2"/>
        <v>65.5</v>
      </c>
      <c r="M44" s="176">
        <f t="shared" si="3"/>
        <v>0.9097222222</v>
      </c>
      <c r="N44" s="2"/>
      <c r="O44" s="2">
        <v>16.0</v>
      </c>
      <c r="P44" s="2"/>
      <c r="Q44" s="2">
        <v>0.0</v>
      </c>
      <c r="R44" s="2"/>
      <c r="S44" s="2">
        <v>0.0</v>
      </c>
      <c r="T44" s="2"/>
      <c r="U44" s="2">
        <v>0.0</v>
      </c>
      <c r="V44" s="174">
        <f t="shared" si="4"/>
        <v>16</v>
      </c>
      <c r="W44" s="176">
        <f t="shared" ref="W44:W45" si="28">V44/66</f>
        <v>0.2424242424</v>
      </c>
      <c r="X44" s="174">
        <f t="shared" ref="X44:X45" si="29">53-V44</f>
        <v>37</v>
      </c>
    </row>
    <row r="45">
      <c r="A45" s="46" t="s">
        <v>313</v>
      </c>
      <c r="B45" s="46" t="s">
        <v>635</v>
      </c>
      <c r="C45" s="2">
        <v>16.0</v>
      </c>
      <c r="D45" s="2"/>
      <c r="E45" s="2">
        <v>18.0</v>
      </c>
      <c r="F45" s="2"/>
      <c r="G45" s="2">
        <v>18.0</v>
      </c>
      <c r="H45" s="2"/>
      <c r="I45" s="2">
        <v>16.0</v>
      </c>
      <c r="J45" s="2"/>
      <c r="K45" s="174">
        <f t="shared" si="1"/>
        <v>-10</v>
      </c>
      <c r="L45" s="174">
        <f t="shared" si="2"/>
        <v>68</v>
      </c>
      <c r="M45" s="176">
        <f t="shared" si="3"/>
        <v>0.9444444444</v>
      </c>
      <c r="N45" s="2"/>
      <c r="O45" s="2">
        <v>16.0</v>
      </c>
      <c r="P45" s="2"/>
      <c r="Q45" s="2">
        <v>0.0</v>
      </c>
      <c r="R45" s="2"/>
      <c r="S45" s="2">
        <v>0.0</v>
      </c>
      <c r="T45" s="2"/>
      <c r="U45" s="2">
        <v>0.0</v>
      </c>
      <c r="V45" s="174">
        <f t="shared" si="4"/>
        <v>16</v>
      </c>
      <c r="W45" s="176">
        <f t="shared" si="28"/>
        <v>0.2424242424</v>
      </c>
      <c r="X45" s="174">
        <f t="shared" si="29"/>
        <v>37</v>
      </c>
    </row>
    <row r="46">
      <c r="A46" s="46" t="s">
        <v>328</v>
      </c>
      <c r="B46" s="46" t="s">
        <v>321</v>
      </c>
      <c r="C46" s="180">
        <v>11.5</v>
      </c>
      <c r="D46" s="178" t="s">
        <v>630</v>
      </c>
      <c r="E46" s="2">
        <v>19.5</v>
      </c>
      <c r="F46" s="2"/>
      <c r="G46" s="2">
        <v>16.0</v>
      </c>
      <c r="H46" s="2"/>
      <c r="I46" s="2">
        <v>14.0</v>
      </c>
      <c r="J46" s="2"/>
      <c r="K46" s="174">
        <f t="shared" si="1"/>
        <v>-3</v>
      </c>
      <c r="L46" s="174">
        <f t="shared" si="2"/>
        <v>61</v>
      </c>
      <c r="M46" s="176">
        <f t="shared" si="3"/>
        <v>0.8472222222</v>
      </c>
      <c r="N46" s="2"/>
      <c r="O46" s="180">
        <v>12.0</v>
      </c>
      <c r="P46" s="178" t="s">
        <v>629</v>
      </c>
      <c r="Q46" s="2">
        <v>0.0</v>
      </c>
      <c r="R46" s="2"/>
      <c r="S46" s="2">
        <v>0.0</v>
      </c>
      <c r="T46" s="2"/>
      <c r="U46" s="2">
        <v>0.0</v>
      </c>
      <c r="V46" s="174">
        <f t="shared" si="4"/>
        <v>12</v>
      </c>
      <c r="W46" s="176">
        <f>V46/60</f>
        <v>0.2</v>
      </c>
      <c r="X46" s="174">
        <f>48-V46</f>
        <v>36</v>
      </c>
    </row>
    <row r="47">
      <c r="A47" s="46" t="s">
        <v>337</v>
      </c>
      <c r="B47" s="46" t="s">
        <v>488</v>
      </c>
      <c r="C47" s="2">
        <v>14.0</v>
      </c>
      <c r="D47" s="2"/>
      <c r="E47" s="2">
        <v>19.5</v>
      </c>
      <c r="F47" s="2"/>
      <c r="G47" s="2">
        <v>15.0</v>
      </c>
      <c r="H47" s="2"/>
      <c r="I47" s="2">
        <v>14.0</v>
      </c>
      <c r="J47" s="2"/>
      <c r="K47" s="174">
        <f t="shared" si="1"/>
        <v>-4.5</v>
      </c>
      <c r="L47" s="174">
        <f t="shared" si="2"/>
        <v>62.5</v>
      </c>
      <c r="M47" s="176">
        <f t="shared" si="3"/>
        <v>0.8680555556</v>
      </c>
      <c r="N47" s="2"/>
      <c r="O47" s="2">
        <v>16.0</v>
      </c>
      <c r="P47" s="2"/>
      <c r="Q47" s="2">
        <v>0.0</v>
      </c>
      <c r="R47" s="2"/>
      <c r="S47" s="2">
        <v>0.0</v>
      </c>
      <c r="T47" s="2"/>
      <c r="U47" s="2">
        <v>0.0</v>
      </c>
      <c r="V47" s="174">
        <f t="shared" si="4"/>
        <v>16</v>
      </c>
      <c r="W47" s="176">
        <f t="shared" ref="W47:W54" si="30">V47/66</f>
        <v>0.2424242424</v>
      </c>
      <c r="X47" s="174">
        <f t="shared" ref="X47:X54" si="31">53-V47</f>
        <v>37</v>
      </c>
    </row>
    <row r="48">
      <c r="A48" s="46" t="s">
        <v>343</v>
      </c>
      <c r="B48" s="46" t="s">
        <v>166</v>
      </c>
      <c r="C48" s="2">
        <v>16.0</v>
      </c>
      <c r="D48" s="2"/>
      <c r="E48" s="2">
        <v>14.0</v>
      </c>
      <c r="F48" s="2"/>
      <c r="G48" s="2">
        <v>16.0</v>
      </c>
      <c r="H48" s="2"/>
      <c r="I48" s="2">
        <v>14.0</v>
      </c>
      <c r="J48" s="2"/>
      <c r="K48" s="174">
        <f t="shared" si="1"/>
        <v>-2</v>
      </c>
      <c r="L48" s="174">
        <f t="shared" si="2"/>
        <v>60</v>
      </c>
      <c r="M48" s="176">
        <f t="shared" si="3"/>
        <v>0.8333333333</v>
      </c>
      <c r="N48" s="2"/>
      <c r="O48" s="180">
        <v>10.0</v>
      </c>
      <c r="P48" s="178" t="s">
        <v>629</v>
      </c>
      <c r="Q48" s="2">
        <v>0.0</v>
      </c>
      <c r="R48" s="2"/>
      <c r="S48" s="2">
        <v>0.0</v>
      </c>
      <c r="T48" s="2"/>
      <c r="U48" s="2">
        <v>0.0</v>
      </c>
      <c r="V48" s="174">
        <f t="shared" si="4"/>
        <v>10</v>
      </c>
      <c r="W48" s="176">
        <f t="shared" si="30"/>
        <v>0.1515151515</v>
      </c>
      <c r="X48" s="174">
        <f t="shared" si="31"/>
        <v>43</v>
      </c>
    </row>
    <row r="49">
      <c r="A49" s="46" t="s">
        <v>352</v>
      </c>
      <c r="B49" s="46" t="s">
        <v>353</v>
      </c>
      <c r="C49" s="2">
        <v>15.5</v>
      </c>
      <c r="D49" s="2"/>
      <c r="E49" s="2">
        <v>20.0</v>
      </c>
      <c r="F49" s="2"/>
      <c r="G49" s="2">
        <v>16.0</v>
      </c>
      <c r="H49" s="2"/>
      <c r="I49" s="2">
        <v>12.0</v>
      </c>
      <c r="J49" s="2"/>
      <c r="K49" s="174">
        <f t="shared" si="1"/>
        <v>-5.5</v>
      </c>
      <c r="L49" s="174">
        <f t="shared" si="2"/>
        <v>63.5</v>
      </c>
      <c r="M49" s="176">
        <f t="shared" si="3"/>
        <v>0.8819444444</v>
      </c>
      <c r="N49" s="2"/>
      <c r="O49" s="2">
        <v>13.5</v>
      </c>
      <c r="P49" s="2"/>
      <c r="Q49" s="2">
        <v>0.0</v>
      </c>
      <c r="R49" s="2"/>
      <c r="S49" s="2">
        <v>0.0</v>
      </c>
      <c r="T49" s="2"/>
      <c r="U49" s="2">
        <v>0.0</v>
      </c>
      <c r="V49" s="174">
        <f t="shared" si="4"/>
        <v>13.5</v>
      </c>
      <c r="W49" s="176">
        <f t="shared" si="30"/>
        <v>0.2045454545</v>
      </c>
      <c r="X49" s="174">
        <f t="shared" si="31"/>
        <v>39.5</v>
      </c>
    </row>
    <row r="50">
      <c r="A50" s="36" t="s">
        <v>363</v>
      </c>
      <c r="B50" s="36" t="s">
        <v>364</v>
      </c>
      <c r="C50" s="2">
        <v>15.5</v>
      </c>
      <c r="D50" s="2"/>
      <c r="E50" s="2">
        <v>16.0</v>
      </c>
      <c r="F50" s="2"/>
      <c r="G50" s="180">
        <v>13.0</v>
      </c>
      <c r="H50" s="178" t="s">
        <v>631</v>
      </c>
      <c r="I50" s="2">
        <v>16.0</v>
      </c>
      <c r="J50" s="2"/>
      <c r="K50" s="174">
        <f t="shared" si="1"/>
        <v>-2.5</v>
      </c>
      <c r="L50" s="174">
        <f t="shared" si="2"/>
        <v>60.5</v>
      </c>
      <c r="M50" s="176">
        <f t="shared" si="3"/>
        <v>0.8402777778</v>
      </c>
      <c r="N50" s="2"/>
      <c r="O50" s="180">
        <v>10.0</v>
      </c>
      <c r="P50" s="178" t="s">
        <v>629</v>
      </c>
      <c r="Q50" s="2">
        <v>0.0</v>
      </c>
      <c r="R50" s="2"/>
      <c r="S50" s="2">
        <v>0.0</v>
      </c>
      <c r="T50" s="2"/>
      <c r="U50" s="2">
        <v>0.0</v>
      </c>
      <c r="V50" s="174">
        <f t="shared" si="4"/>
        <v>10</v>
      </c>
      <c r="W50" s="176">
        <f t="shared" si="30"/>
        <v>0.1515151515</v>
      </c>
      <c r="X50" s="174">
        <f t="shared" si="31"/>
        <v>43</v>
      </c>
    </row>
    <row r="51">
      <c r="A51" s="46" t="s">
        <v>372</v>
      </c>
      <c r="B51" s="46" t="s">
        <v>373</v>
      </c>
      <c r="C51" s="2">
        <v>16.0</v>
      </c>
      <c r="D51" s="2"/>
      <c r="E51" s="2">
        <v>18.0</v>
      </c>
      <c r="F51" s="2"/>
      <c r="G51" s="2">
        <v>15.0</v>
      </c>
      <c r="H51" s="2"/>
      <c r="I51" s="2">
        <v>15.5</v>
      </c>
      <c r="J51" s="2"/>
      <c r="K51" s="174">
        <f t="shared" si="1"/>
        <v>-6.5</v>
      </c>
      <c r="L51" s="174">
        <f t="shared" si="2"/>
        <v>64.5</v>
      </c>
      <c r="M51" s="176">
        <f t="shared" si="3"/>
        <v>0.8958333333</v>
      </c>
      <c r="N51" s="2"/>
      <c r="O51" s="2">
        <v>14.0</v>
      </c>
      <c r="P51" s="2"/>
      <c r="Q51" s="2">
        <v>0.0</v>
      </c>
      <c r="R51" s="2"/>
      <c r="S51" s="2">
        <v>0.0</v>
      </c>
      <c r="T51" s="2"/>
      <c r="U51" s="2">
        <v>0.0</v>
      </c>
      <c r="V51" s="174">
        <f t="shared" si="4"/>
        <v>14</v>
      </c>
      <c r="W51" s="176">
        <f t="shared" si="30"/>
        <v>0.2121212121</v>
      </c>
      <c r="X51" s="174">
        <f t="shared" si="31"/>
        <v>39</v>
      </c>
    </row>
    <row r="52">
      <c r="A52" s="46" t="s">
        <v>378</v>
      </c>
      <c r="B52" s="46" t="s">
        <v>636</v>
      </c>
      <c r="C52" s="2">
        <v>16.0</v>
      </c>
      <c r="D52" s="2"/>
      <c r="E52" s="2">
        <v>18.0</v>
      </c>
      <c r="F52" s="2"/>
      <c r="G52" s="2">
        <v>16.0</v>
      </c>
      <c r="H52" s="2"/>
      <c r="I52" s="2">
        <v>16.0</v>
      </c>
      <c r="J52" s="2"/>
      <c r="K52" s="174">
        <f t="shared" si="1"/>
        <v>-8</v>
      </c>
      <c r="L52" s="174">
        <f t="shared" si="2"/>
        <v>66</v>
      </c>
      <c r="M52" s="176">
        <f t="shared" si="3"/>
        <v>0.9166666667</v>
      </c>
      <c r="N52" s="2"/>
      <c r="O52" s="2">
        <v>16.0</v>
      </c>
      <c r="P52" s="2"/>
      <c r="Q52" s="2">
        <v>0.0</v>
      </c>
      <c r="R52" s="2"/>
      <c r="S52" s="2">
        <v>0.0</v>
      </c>
      <c r="T52" s="2"/>
      <c r="U52" s="2">
        <v>0.0</v>
      </c>
      <c r="V52" s="174">
        <f t="shared" si="4"/>
        <v>16</v>
      </c>
      <c r="W52" s="176">
        <f t="shared" si="30"/>
        <v>0.2424242424</v>
      </c>
      <c r="X52" s="174">
        <f t="shared" si="31"/>
        <v>37</v>
      </c>
    </row>
    <row r="53">
      <c r="A53" s="46" t="s">
        <v>382</v>
      </c>
      <c r="B53" s="46" t="s">
        <v>527</v>
      </c>
      <c r="C53" s="2">
        <v>16.0</v>
      </c>
      <c r="D53" s="2"/>
      <c r="E53" s="2">
        <v>18.0</v>
      </c>
      <c r="F53" s="2"/>
      <c r="G53" s="2">
        <v>16.0</v>
      </c>
      <c r="H53" s="2"/>
      <c r="I53" s="2">
        <v>12.0</v>
      </c>
      <c r="J53" s="2"/>
      <c r="K53" s="174">
        <f t="shared" si="1"/>
        <v>-4</v>
      </c>
      <c r="L53" s="174">
        <f t="shared" si="2"/>
        <v>62</v>
      </c>
      <c r="M53" s="176">
        <f t="shared" si="3"/>
        <v>0.8611111111</v>
      </c>
      <c r="N53" s="2"/>
      <c r="O53" s="2">
        <v>14.0</v>
      </c>
      <c r="P53" s="2"/>
      <c r="Q53" s="2">
        <v>0.0</v>
      </c>
      <c r="R53" s="2"/>
      <c r="S53" s="2">
        <v>0.0</v>
      </c>
      <c r="T53" s="2"/>
      <c r="U53" s="2">
        <v>0.0</v>
      </c>
      <c r="V53" s="174">
        <f t="shared" si="4"/>
        <v>14</v>
      </c>
      <c r="W53" s="176">
        <f t="shared" si="30"/>
        <v>0.2121212121</v>
      </c>
      <c r="X53" s="174">
        <f t="shared" si="31"/>
        <v>39</v>
      </c>
    </row>
    <row r="54">
      <c r="A54" s="29" t="s">
        <v>386</v>
      </c>
      <c r="B54" s="181" t="s">
        <v>387</v>
      </c>
      <c r="C54" s="2">
        <v>15.5</v>
      </c>
      <c r="D54" s="2"/>
      <c r="E54" s="2">
        <v>16.0</v>
      </c>
      <c r="F54" s="2"/>
      <c r="G54" s="2">
        <v>14.0</v>
      </c>
      <c r="H54" s="2"/>
      <c r="I54" s="2">
        <v>16.0</v>
      </c>
      <c r="J54" s="2"/>
      <c r="K54" s="174">
        <f t="shared" si="1"/>
        <v>-3.5</v>
      </c>
      <c r="L54" s="174">
        <f t="shared" si="2"/>
        <v>61.5</v>
      </c>
      <c r="M54" s="176">
        <f t="shared" si="3"/>
        <v>0.8541666667</v>
      </c>
      <c r="N54" s="2"/>
      <c r="O54" s="2">
        <v>12.0</v>
      </c>
      <c r="P54" s="2"/>
      <c r="Q54" s="2">
        <v>0.0</v>
      </c>
      <c r="R54" s="2"/>
      <c r="S54" s="2">
        <v>0.0</v>
      </c>
      <c r="T54" s="2"/>
      <c r="U54" s="2">
        <v>0.0</v>
      </c>
      <c r="V54" s="174">
        <f t="shared" si="4"/>
        <v>12</v>
      </c>
      <c r="W54" s="176">
        <f t="shared" si="30"/>
        <v>0.1818181818</v>
      </c>
      <c r="X54" s="174">
        <f t="shared" si="31"/>
        <v>41</v>
      </c>
    </row>
    <row r="55">
      <c r="A55" s="46" t="s">
        <v>390</v>
      </c>
      <c r="B55" s="182" t="s">
        <v>391</v>
      </c>
      <c r="C55" s="183">
        <v>16.0</v>
      </c>
      <c r="D55" s="2"/>
      <c r="E55" s="180">
        <v>12.0</v>
      </c>
      <c r="F55" s="178" t="s">
        <v>632</v>
      </c>
      <c r="G55" s="51">
        <v>14.0</v>
      </c>
      <c r="H55" s="178" t="s">
        <v>631</v>
      </c>
      <c r="I55" s="2">
        <v>18.0</v>
      </c>
      <c r="J55" s="2"/>
      <c r="K55" s="174">
        <f t="shared" si="1"/>
        <v>-2</v>
      </c>
      <c r="L55" s="174">
        <f t="shared" si="2"/>
        <v>60</v>
      </c>
      <c r="M55" s="176">
        <f t="shared" si="3"/>
        <v>0.8333333333</v>
      </c>
      <c r="N55" s="2"/>
      <c r="O55" s="2">
        <v>15.5</v>
      </c>
      <c r="P55" s="2"/>
      <c r="Q55" s="2">
        <v>0.0</v>
      </c>
      <c r="R55" s="2"/>
      <c r="S55" s="2">
        <v>0.0</v>
      </c>
      <c r="T55" s="2"/>
      <c r="U55" s="2">
        <v>0.0</v>
      </c>
      <c r="V55" s="174">
        <f t="shared" si="4"/>
        <v>15.5</v>
      </c>
      <c r="W55" s="176">
        <f>V55/60</f>
        <v>0.2583333333</v>
      </c>
      <c r="X55" s="174">
        <f>48-V55</f>
        <v>32.5</v>
      </c>
    </row>
    <row r="56">
      <c r="A56" s="126"/>
      <c r="B56" s="126"/>
      <c r="C56" s="2"/>
      <c r="D56" s="2"/>
      <c r="F56" s="2"/>
      <c r="H56" s="2"/>
      <c r="J56" s="2"/>
      <c r="K56" s="2"/>
      <c r="L56" s="2"/>
      <c r="M56" s="2"/>
      <c r="N56" s="2"/>
      <c r="P56" s="2"/>
      <c r="R56" s="2"/>
      <c r="T56" s="2"/>
      <c r="V56" s="2"/>
      <c r="W56" s="2"/>
      <c r="X56" s="2"/>
    </row>
    <row r="57">
      <c r="A57" s="184" t="s">
        <v>637</v>
      </c>
      <c r="B57" s="185"/>
      <c r="C57" s="167">
        <v>8.0</v>
      </c>
      <c r="D57" s="2"/>
      <c r="E57" s="167">
        <v>9.0</v>
      </c>
      <c r="G57" s="167">
        <v>7.0</v>
      </c>
      <c r="H57" s="2"/>
      <c r="I57" s="2"/>
      <c r="J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184" t="s">
        <v>638</v>
      </c>
      <c r="B58" s="185"/>
      <c r="C58" s="167">
        <v>2.0</v>
      </c>
      <c r="D58" s="2"/>
      <c r="E58" s="167">
        <v>2.0</v>
      </c>
      <c r="G58" s="167">
        <v>4.0</v>
      </c>
      <c r="H58" s="2"/>
      <c r="I58" s="2"/>
      <c r="J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186" t="s">
        <v>639</v>
      </c>
      <c r="B59" s="186"/>
      <c r="C59" s="167">
        <v>7.0</v>
      </c>
      <c r="D59" s="2"/>
      <c r="E59" s="167">
        <v>5.0</v>
      </c>
      <c r="G59" s="167">
        <v>3.0</v>
      </c>
      <c r="H59" s="2"/>
      <c r="I59" s="2"/>
      <c r="J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126"/>
      <c r="B60" s="12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126"/>
      <c r="B61" s="12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126"/>
      <c r="B62" s="12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126"/>
      <c r="B63" s="12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126"/>
      <c r="B64" s="1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</sheetData>
  <mergeCells count="2">
    <mergeCell ref="A57:B57"/>
    <mergeCell ref="A58:B5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5.63"/>
    <col customWidth="1" min="2" max="2" width="9.25"/>
    <col customWidth="1" min="3" max="3" width="8.63"/>
    <col customWidth="1" min="5" max="5" width="16.5"/>
    <col customWidth="1" min="7" max="7" width="12.75"/>
    <col customWidth="1" min="8" max="8" width="22.38"/>
    <col customWidth="1" min="13" max="13" width="24.88"/>
    <col customWidth="1" min="18" max="18" width="28.25"/>
    <col customWidth="1" min="23" max="23" width="24.75"/>
  </cols>
  <sheetData>
    <row r="1" ht="21.75" customHeight="1">
      <c r="A1" s="2"/>
      <c r="B1" s="2"/>
      <c r="C1" s="2"/>
      <c r="D1" s="2"/>
      <c r="E1" s="2"/>
      <c r="F1" s="187" t="s">
        <v>640</v>
      </c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188" t="s">
        <v>641</v>
      </c>
      <c r="G2" s="188" t="s">
        <v>642</v>
      </c>
      <c r="H2" s="189"/>
      <c r="I2" s="190" t="s">
        <v>643</v>
      </c>
      <c r="J2" s="191"/>
      <c r="K2" s="192" t="s">
        <v>641</v>
      </c>
      <c r="L2" s="192" t="s">
        <v>644</v>
      </c>
      <c r="M2" s="193"/>
      <c r="N2" s="194" t="s">
        <v>643</v>
      </c>
      <c r="O2" s="191"/>
      <c r="P2" s="195" t="s">
        <v>641</v>
      </c>
      <c r="Q2" s="195" t="s">
        <v>645</v>
      </c>
      <c r="R2" s="196"/>
      <c r="S2" s="197" t="s">
        <v>643</v>
      </c>
      <c r="T2" s="191"/>
      <c r="U2" s="198" t="s">
        <v>641</v>
      </c>
      <c r="V2" s="198" t="s">
        <v>646</v>
      </c>
      <c r="W2" s="199"/>
      <c r="X2" s="200" t="s">
        <v>643</v>
      </c>
      <c r="Y2" s="191"/>
      <c r="Z2" s="201" t="s">
        <v>647</v>
      </c>
      <c r="AA2" s="185"/>
      <c r="AB2" s="201" t="s">
        <v>648</v>
      </c>
      <c r="AC2" s="185"/>
      <c r="AD2" s="31"/>
      <c r="AE2" s="31"/>
      <c r="AF2" s="31"/>
    </row>
    <row r="3">
      <c r="A3" s="202" t="s">
        <v>649</v>
      </c>
      <c r="B3" s="203" t="s">
        <v>650</v>
      </c>
      <c r="C3" s="202" t="s">
        <v>651</v>
      </c>
      <c r="D3" s="202" t="s">
        <v>652</v>
      </c>
      <c r="E3" s="202" t="s">
        <v>7</v>
      </c>
      <c r="F3" s="204" t="s">
        <v>653</v>
      </c>
      <c r="G3" s="205" t="s">
        <v>654</v>
      </c>
      <c r="H3" s="205" t="s">
        <v>655</v>
      </c>
      <c r="I3" s="206" t="s">
        <v>656</v>
      </c>
      <c r="J3" s="206" t="s">
        <v>657</v>
      </c>
      <c r="K3" s="207" t="s">
        <v>658</v>
      </c>
      <c r="L3" s="208" t="s">
        <v>654</v>
      </c>
      <c r="M3" s="208" t="s">
        <v>655</v>
      </c>
      <c r="N3" s="208" t="s">
        <v>656</v>
      </c>
      <c r="O3" s="207" t="s">
        <v>657</v>
      </c>
      <c r="P3" s="209" t="s">
        <v>659</v>
      </c>
      <c r="Q3" s="209" t="s">
        <v>654</v>
      </c>
      <c r="R3" s="210" t="s">
        <v>655</v>
      </c>
      <c r="S3" s="210" t="s">
        <v>656</v>
      </c>
      <c r="T3" s="210" t="s">
        <v>657</v>
      </c>
      <c r="U3" s="211" t="s">
        <v>660</v>
      </c>
      <c r="V3" s="211" t="s">
        <v>654</v>
      </c>
      <c r="W3" s="212" t="s">
        <v>655</v>
      </c>
      <c r="X3" s="211" t="s">
        <v>656</v>
      </c>
      <c r="Y3" s="212" t="s">
        <v>657</v>
      </c>
      <c r="Z3" s="213" t="s">
        <v>661</v>
      </c>
      <c r="AA3" s="213" t="s">
        <v>662</v>
      </c>
      <c r="AB3" s="213" t="s">
        <v>663</v>
      </c>
      <c r="AC3" s="213" t="s">
        <v>662</v>
      </c>
      <c r="AD3" s="214" t="s">
        <v>664</v>
      </c>
      <c r="AE3" s="215" t="s">
        <v>665</v>
      </c>
      <c r="AF3" s="215" t="s">
        <v>666</v>
      </c>
    </row>
    <row r="4">
      <c r="A4" s="216">
        <v>1.0</v>
      </c>
      <c r="B4" s="217" t="s">
        <v>62</v>
      </c>
      <c r="C4" s="28"/>
      <c r="D4" s="17" t="s">
        <v>20</v>
      </c>
      <c r="E4" s="17" t="s">
        <v>37</v>
      </c>
      <c r="F4" s="218" t="s">
        <v>92</v>
      </c>
      <c r="G4" s="219" t="s">
        <v>667</v>
      </c>
      <c r="H4" s="220"/>
      <c r="I4" s="221">
        <v>2.0</v>
      </c>
      <c r="J4" s="221">
        <v>2.0</v>
      </c>
      <c r="K4" s="218" t="s">
        <v>92</v>
      </c>
      <c r="L4" s="219" t="s">
        <v>667</v>
      </c>
      <c r="M4" s="222"/>
      <c r="N4" s="221">
        <v>2.0</v>
      </c>
      <c r="O4" s="221">
        <v>2.0</v>
      </c>
      <c r="P4" s="218" t="s">
        <v>92</v>
      </c>
      <c r="Q4" s="219" t="s">
        <v>667</v>
      </c>
      <c r="R4" s="222"/>
      <c r="S4" s="221">
        <v>2.0</v>
      </c>
      <c r="T4" s="221">
        <v>2.0</v>
      </c>
      <c r="U4" s="218" t="s">
        <v>92</v>
      </c>
      <c r="V4" s="219" t="s">
        <v>667</v>
      </c>
      <c r="W4" s="222"/>
      <c r="X4" s="221">
        <v>2.0</v>
      </c>
      <c r="Y4" s="221">
        <v>2.0</v>
      </c>
      <c r="Z4" s="223">
        <v>2.0</v>
      </c>
      <c r="AA4" s="223">
        <v>0.0</v>
      </c>
      <c r="AB4" s="223">
        <v>0.0</v>
      </c>
      <c r="AC4" s="223">
        <v>0.0</v>
      </c>
      <c r="AD4" s="224">
        <v>0.0</v>
      </c>
      <c r="AE4" s="174">
        <f t="shared" ref="AE4:AE56" si="1">I4+J4+N4+O4+S4+T4+X4+Y4+Z4+AA4+AB4+AC4</f>
        <v>18</v>
      </c>
      <c r="AF4" s="225">
        <f t="shared" ref="AF4:AF56" si="2">14.5-AE4</f>
        <v>-3.5</v>
      </c>
    </row>
    <row r="5">
      <c r="A5" s="39">
        <v>2.0</v>
      </c>
      <c r="B5" s="41" t="s">
        <v>90</v>
      </c>
      <c r="C5" s="226"/>
      <c r="D5" s="29" t="s">
        <v>29</v>
      </c>
      <c r="E5" s="29" t="s">
        <v>68</v>
      </c>
      <c r="F5" s="218" t="s">
        <v>92</v>
      </c>
      <c r="G5" s="219" t="s">
        <v>667</v>
      </c>
      <c r="H5" s="227"/>
      <c r="I5" s="221">
        <v>2.0</v>
      </c>
      <c r="J5" s="221">
        <v>2.0</v>
      </c>
      <c r="K5" s="51" t="s">
        <v>92</v>
      </c>
      <c r="L5" s="51" t="s">
        <v>667</v>
      </c>
      <c r="M5" s="222"/>
      <c r="N5" s="221">
        <v>2.0</v>
      </c>
      <c r="O5" s="221">
        <v>2.0</v>
      </c>
      <c r="P5" s="51" t="s">
        <v>92</v>
      </c>
      <c r="Q5" s="51" t="s">
        <v>667</v>
      </c>
      <c r="R5" s="222"/>
      <c r="S5" s="221">
        <v>2.0</v>
      </c>
      <c r="T5" s="221">
        <v>2.0</v>
      </c>
      <c r="U5" s="51" t="s">
        <v>92</v>
      </c>
      <c r="V5" s="51" t="s">
        <v>667</v>
      </c>
      <c r="W5" s="222"/>
      <c r="X5" s="221">
        <v>2.0</v>
      </c>
      <c r="Y5" s="221">
        <v>2.0</v>
      </c>
      <c r="Z5" s="223">
        <v>0.0</v>
      </c>
      <c r="AA5" s="223">
        <v>0.0</v>
      </c>
      <c r="AB5" s="223">
        <v>0.0</v>
      </c>
      <c r="AC5" s="223">
        <v>0.0</v>
      </c>
      <c r="AD5" s="224">
        <v>0.0</v>
      </c>
      <c r="AE5" s="174">
        <f t="shared" si="1"/>
        <v>16</v>
      </c>
      <c r="AF5" s="225">
        <f t="shared" si="2"/>
        <v>-1.5</v>
      </c>
    </row>
    <row r="6">
      <c r="A6" s="216">
        <v>3.0</v>
      </c>
      <c r="B6" s="41" t="s">
        <v>90</v>
      </c>
      <c r="C6" s="55" t="s">
        <v>99</v>
      </c>
      <c r="D6" s="43" t="s">
        <v>95</v>
      </c>
      <c r="E6" s="43" t="s">
        <v>35</v>
      </c>
      <c r="F6" s="2" t="s">
        <v>92</v>
      </c>
      <c r="G6" s="2" t="s">
        <v>667</v>
      </c>
      <c r="H6" s="227"/>
      <c r="I6" s="221">
        <v>2.0</v>
      </c>
      <c r="J6" s="221">
        <v>2.0</v>
      </c>
      <c r="K6" s="2" t="s">
        <v>92</v>
      </c>
      <c r="L6" s="2" t="s">
        <v>667</v>
      </c>
      <c r="M6" s="222"/>
      <c r="N6" s="221">
        <v>2.0</v>
      </c>
      <c r="O6" s="221">
        <v>2.0</v>
      </c>
      <c r="P6" s="2" t="s">
        <v>92</v>
      </c>
      <c r="Q6" s="2" t="s">
        <v>667</v>
      </c>
      <c r="R6" s="222"/>
      <c r="S6" s="221">
        <v>2.0</v>
      </c>
      <c r="T6" s="221">
        <v>2.0</v>
      </c>
      <c r="U6" s="2" t="s">
        <v>92</v>
      </c>
      <c r="V6" s="2" t="s">
        <v>667</v>
      </c>
      <c r="W6" s="222"/>
      <c r="X6" s="221">
        <v>2.0</v>
      </c>
      <c r="Y6" s="221">
        <v>2.0</v>
      </c>
      <c r="Z6" s="223">
        <v>2.0</v>
      </c>
      <c r="AA6" s="223">
        <v>0.0</v>
      </c>
      <c r="AB6" s="223">
        <v>0.0</v>
      </c>
      <c r="AC6" s="223">
        <v>0.0</v>
      </c>
      <c r="AD6" s="224">
        <v>0.0</v>
      </c>
      <c r="AE6" s="174">
        <f t="shared" si="1"/>
        <v>18</v>
      </c>
      <c r="AF6" s="225">
        <f t="shared" si="2"/>
        <v>-3.5</v>
      </c>
    </row>
    <row r="7">
      <c r="A7" s="39">
        <v>4.0</v>
      </c>
      <c r="B7" s="62" t="s">
        <v>90</v>
      </c>
      <c r="C7" s="59"/>
      <c r="D7" s="54" t="s">
        <v>41</v>
      </c>
      <c r="E7" s="54" t="s">
        <v>42</v>
      </c>
      <c r="F7" s="2" t="s">
        <v>92</v>
      </c>
      <c r="G7" s="2" t="s">
        <v>667</v>
      </c>
      <c r="H7" s="220"/>
      <c r="I7" s="221">
        <v>2.0</v>
      </c>
      <c r="J7" s="221">
        <v>2.0</v>
      </c>
      <c r="K7" s="2" t="s">
        <v>92</v>
      </c>
      <c r="L7" s="2" t="s">
        <v>667</v>
      </c>
      <c r="M7" s="221" t="s">
        <v>668</v>
      </c>
      <c r="N7" s="221">
        <v>2.0</v>
      </c>
      <c r="O7" s="221">
        <v>2.0</v>
      </c>
      <c r="P7" s="2" t="s">
        <v>92</v>
      </c>
      <c r="Q7" s="2" t="s">
        <v>667</v>
      </c>
      <c r="R7" s="222"/>
      <c r="S7" s="221">
        <v>2.0</v>
      </c>
      <c r="T7" s="221">
        <v>2.0</v>
      </c>
      <c r="U7" s="2" t="s">
        <v>92</v>
      </c>
      <c r="V7" s="2" t="s">
        <v>667</v>
      </c>
      <c r="W7" s="222"/>
      <c r="X7" s="221">
        <v>2.0</v>
      </c>
      <c r="Y7" s="221">
        <v>2.0</v>
      </c>
      <c r="Z7" s="223">
        <v>0.0</v>
      </c>
      <c r="AA7" s="223">
        <v>0.0</v>
      </c>
      <c r="AB7" s="223">
        <v>0.0</v>
      </c>
      <c r="AC7" s="223">
        <v>0.0</v>
      </c>
      <c r="AD7" s="224">
        <v>0.0</v>
      </c>
      <c r="AE7" s="174">
        <f t="shared" si="1"/>
        <v>16</v>
      </c>
      <c r="AF7" s="225">
        <f t="shared" si="2"/>
        <v>-1.5</v>
      </c>
    </row>
    <row r="8">
      <c r="A8" s="216">
        <v>5.0</v>
      </c>
      <c r="B8" s="62" t="s">
        <v>90</v>
      </c>
      <c r="C8" s="59"/>
      <c r="D8" s="54" t="s">
        <v>48</v>
      </c>
      <c r="E8" s="54" t="s">
        <v>51</v>
      </c>
      <c r="F8" s="2" t="s">
        <v>92</v>
      </c>
      <c r="G8" s="2" t="s">
        <v>667</v>
      </c>
      <c r="H8" s="227"/>
      <c r="I8" s="221">
        <v>2.0</v>
      </c>
      <c r="J8" s="221">
        <v>2.0</v>
      </c>
      <c r="K8" s="2" t="s">
        <v>92</v>
      </c>
      <c r="L8" s="2" t="s">
        <v>667</v>
      </c>
      <c r="M8" s="222"/>
      <c r="N8" s="221">
        <v>2.0</v>
      </c>
      <c r="O8" s="221">
        <v>2.0</v>
      </c>
      <c r="P8" s="2" t="s">
        <v>92</v>
      </c>
      <c r="Q8" s="2" t="s">
        <v>667</v>
      </c>
      <c r="R8" s="222"/>
      <c r="S8" s="221">
        <v>2.0</v>
      </c>
      <c r="T8" s="221">
        <v>2.0</v>
      </c>
      <c r="U8" s="2" t="s">
        <v>92</v>
      </c>
      <c r="V8" s="2" t="s">
        <v>667</v>
      </c>
      <c r="W8" s="222"/>
      <c r="X8" s="221">
        <v>2.0</v>
      </c>
      <c r="Y8" s="221">
        <v>2.0</v>
      </c>
      <c r="Z8" s="223">
        <v>0.0</v>
      </c>
      <c r="AA8" s="223">
        <v>0.0</v>
      </c>
      <c r="AB8" s="223">
        <v>0.0</v>
      </c>
      <c r="AC8" s="223">
        <v>0.0</v>
      </c>
      <c r="AD8" s="224">
        <v>0.0</v>
      </c>
      <c r="AE8" s="174">
        <f t="shared" si="1"/>
        <v>16</v>
      </c>
      <c r="AF8" s="225">
        <f t="shared" si="2"/>
        <v>-1.5</v>
      </c>
    </row>
    <row r="9">
      <c r="A9" s="39">
        <v>6.0</v>
      </c>
      <c r="B9" s="62" t="s">
        <v>90</v>
      </c>
      <c r="C9" s="59"/>
      <c r="D9" s="43" t="s">
        <v>58</v>
      </c>
      <c r="E9" s="43" t="s">
        <v>148</v>
      </c>
      <c r="F9" s="2" t="s">
        <v>92</v>
      </c>
      <c r="G9" s="2" t="s">
        <v>667</v>
      </c>
      <c r="H9" s="227"/>
      <c r="I9" s="221">
        <v>0.0</v>
      </c>
      <c r="J9" s="221">
        <v>2.0</v>
      </c>
      <c r="K9" s="2" t="s">
        <v>92</v>
      </c>
      <c r="L9" s="2" t="s">
        <v>667</v>
      </c>
      <c r="M9" s="222"/>
      <c r="N9" s="221">
        <v>2.0</v>
      </c>
      <c r="O9" s="221">
        <v>2.0</v>
      </c>
      <c r="P9" s="2" t="s">
        <v>92</v>
      </c>
      <c r="Q9" s="2" t="s">
        <v>667</v>
      </c>
      <c r="R9" s="222"/>
      <c r="S9" s="221">
        <v>2.0</v>
      </c>
      <c r="T9" s="221">
        <v>2.0</v>
      </c>
      <c r="U9" s="2" t="s">
        <v>92</v>
      </c>
      <c r="V9" s="2" t="s">
        <v>667</v>
      </c>
      <c r="W9" s="222"/>
      <c r="X9" s="221">
        <v>2.0</v>
      </c>
      <c r="Y9" s="221">
        <v>2.0</v>
      </c>
      <c r="Z9" s="223">
        <v>0.0</v>
      </c>
      <c r="AA9" s="223">
        <v>0.0</v>
      </c>
      <c r="AB9" s="223">
        <v>0.0</v>
      </c>
      <c r="AC9" s="223">
        <v>0.0</v>
      </c>
      <c r="AD9" s="224">
        <v>0.0</v>
      </c>
      <c r="AE9" s="174">
        <f t="shared" si="1"/>
        <v>14</v>
      </c>
      <c r="AF9" s="225">
        <f t="shared" si="2"/>
        <v>0.5</v>
      </c>
    </row>
    <row r="10">
      <c r="A10" s="216">
        <v>7.0</v>
      </c>
      <c r="B10" s="105" t="s">
        <v>90</v>
      </c>
      <c r="C10" s="68"/>
      <c r="D10" s="70" t="s">
        <v>63</v>
      </c>
      <c r="E10" s="74" t="s">
        <v>64</v>
      </c>
      <c r="F10" s="84" t="s">
        <v>92</v>
      </c>
      <c r="G10" s="2" t="s">
        <v>667</v>
      </c>
      <c r="H10" s="220" t="s">
        <v>669</v>
      </c>
      <c r="I10" s="221">
        <v>2.0</v>
      </c>
      <c r="J10" s="221">
        <v>2.0</v>
      </c>
      <c r="K10" s="2" t="s">
        <v>92</v>
      </c>
      <c r="L10" s="2" t="s">
        <v>667</v>
      </c>
      <c r="M10" s="221" t="s">
        <v>670</v>
      </c>
      <c r="N10" s="221">
        <v>2.0</v>
      </c>
      <c r="O10" s="221">
        <v>2.0</v>
      </c>
      <c r="P10" s="2" t="s">
        <v>92</v>
      </c>
      <c r="Q10" s="2" t="s">
        <v>667</v>
      </c>
      <c r="R10" s="222"/>
      <c r="S10" s="221">
        <v>2.0</v>
      </c>
      <c r="T10" s="221">
        <v>2.0</v>
      </c>
      <c r="U10" s="2" t="s">
        <v>92</v>
      </c>
      <c r="V10" s="2" t="s">
        <v>667</v>
      </c>
      <c r="W10" s="221" t="s">
        <v>671</v>
      </c>
      <c r="X10" s="221">
        <v>2.0</v>
      </c>
      <c r="Y10" s="221">
        <v>2.0</v>
      </c>
      <c r="Z10" s="223">
        <v>0.0</v>
      </c>
      <c r="AA10" s="223">
        <v>0.0</v>
      </c>
      <c r="AB10" s="223">
        <v>0.0</v>
      </c>
      <c r="AC10" s="223">
        <v>0.0</v>
      </c>
      <c r="AD10" s="224">
        <v>0.0</v>
      </c>
      <c r="AE10" s="174">
        <f t="shared" si="1"/>
        <v>16</v>
      </c>
      <c r="AF10" s="225">
        <f t="shared" si="2"/>
        <v>-1.5</v>
      </c>
    </row>
    <row r="11">
      <c r="A11" s="39">
        <v>8.0</v>
      </c>
      <c r="B11" s="62" t="s">
        <v>90</v>
      </c>
      <c r="C11" s="59"/>
      <c r="D11" s="54" t="s">
        <v>66</v>
      </c>
      <c r="E11" s="54" t="s">
        <v>187</v>
      </c>
      <c r="F11" s="2" t="s">
        <v>92</v>
      </c>
      <c r="G11" s="2" t="s">
        <v>667</v>
      </c>
      <c r="H11" s="227"/>
      <c r="I11" s="221">
        <v>2.0</v>
      </c>
      <c r="J11" s="221">
        <v>1.5</v>
      </c>
      <c r="K11" s="2" t="s">
        <v>92</v>
      </c>
      <c r="L11" s="2" t="s">
        <v>667</v>
      </c>
      <c r="M11" s="222"/>
      <c r="N11" s="221">
        <v>2.0</v>
      </c>
      <c r="O11" s="221">
        <v>2.0</v>
      </c>
      <c r="P11" s="2" t="s">
        <v>92</v>
      </c>
      <c r="Q11" s="2" t="s">
        <v>667</v>
      </c>
      <c r="R11" s="222"/>
      <c r="S11" s="221">
        <v>2.0</v>
      </c>
      <c r="T11" s="221">
        <v>1.5</v>
      </c>
      <c r="U11" s="2" t="s">
        <v>92</v>
      </c>
      <c r="V11" s="2" t="s">
        <v>667</v>
      </c>
      <c r="W11" s="222"/>
      <c r="X11" s="221">
        <v>2.0</v>
      </c>
      <c r="Y11" s="221">
        <v>2.0</v>
      </c>
      <c r="Z11" s="223">
        <v>0.0</v>
      </c>
      <c r="AA11" s="223">
        <v>0.0</v>
      </c>
      <c r="AB11" s="223">
        <v>0.0</v>
      </c>
      <c r="AC11" s="223">
        <v>0.0</v>
      </c>
      <c r="AD11" s="224">
        <v>0.0</v>
      </c>
      <c r="AE11" s="174">
        <f t="shared" si="1"/>
        <v>15</v>
      </c>
      <c r="AF11" s="225">
        <f t="shared" si="2"/>
        <v>-0.5</v>
      </c>
    </row>
    <row r="12">
      <c r="A12" s="216">
        <v>9.0</v>
      </c>
      <c r="B12" s="62" t="s">
        <v>90</v>
      </c>
      <c r="C12" s="59"/>
      <c r="D12" s="46" t="s">
        <v>71</v>
      </c>
      <c r="E12" s="46" t="s">
        <v>195</v>
      </c>
      <c r="F12" s="2" t="s">
        <v>92</v>
      </c>
      <c r="G12" s="2" t="s">
        <v>667</v>
      </c>
      <c r="H12" s="220"/>
      <c r="I12" s="221">
        <v>2.0</v>
      </c>
      <c r="J12" s="221">
        <v>2.0</v>
      </c>
      <c r="K12" s="2" t="s">
        <v>92</v>
      </c>
      <c r="L12" s="2" t="s">
        <v>667</v>
      </c>
      <c r="M12" s="222"/>
      <c r="N12" s="221">
        <v>2.0</v>
      </c>
      <c r="O12" s="221">
        <v>2.0</v>
      </c>
      <c r="P12" s="2" t="s">
        <v>92</v>
      </c>
      <c r="Q12" s="2" t="s">
        <v>667</v>
      </c>
      <c r="R12" s="222"/>
      <c r="S12" s="221">
        <v>2.0</v>
      </c>
      <c r="T12" s="221">
        <v>2.0</v>
      </c>
      <c r="U12" s="2" t="s">
        <v>92</v>
      </c>
      <c r="V12" s="2" t="s">
        <v>667</v>
      </c>
      <c r="W12" s="222"/>
      <c r="X12" s="221">
        <v>2.0</v>
      </c>
      <c r="Y12" s="221">
        <v>2.0</v>
      </c>
      <c r="Z12" s="223">
        <v>0.0</v>
      </c>
      <c r="AA12" s="223">
        <v>0.0</v>
      </c>
      <c r="AB12" s="223">
        <v>0.0</v>
      </c>
      <c r="AC12" s="223">
        <v>0.0</v>
      </c>
      <c r="AD12" s="224">
        <v>0.0</v>
      </c>
      <c r="AE12" s="174">
        <f t="shared" si="1"/>
        <v>16</v>
      </c>
      <c r="AF12" s="225">
        <f t="shared" si="2"/>
        <v>-1.5</v>
      </c>
    </row>
    <row r="13">
      <c r="A13" s="39">
        <v>10.0</v>
      </c>
      <c r="B13" s="62" t="s">
        <v>90</v>
      </c>
      <c r="C13" s="59"/>
      <c r="D13" s="54" t="s">
        <v>85</v>
      </c>
      <c r="E13" s="54" t="s">
        <v>86</v>
      </c>
      <c r="F13" s="2" t="s">
        <v>92</v>
      </c>
      <c r="G13" s="2" t="s">
        <v>667</v>
      </c>
      <c r="H13" s="227"/>
      <c r="I13" s="221">
        <v>2.0</v>
      </c>
      <c r="J13" s="221">
        <v>2.0</v>
      </c>
      <c r="K13" s="2" t="s">
        <v>92</v>
      </c>
      <c r="L13" s="2" t="s">
        <v>667</v>
      </c>
      <c r="M13" s="222"/>
      <c r="N13" s="221">
        <v>2.0</v>
      </c>
      <c r="O13" s="221">
        <v>2.0</v>
      </c>
      <c r="P13" s="2" t="s">
        <v>92</v>
      </c>
      <c r="Q13" s="2" t="s">
        <v>667</v>
      </c>
      <c r="R13" s="222"/>
      <c r="S13" s="221">
        <v>1.0</v>
      </c>
      <c r="T13" s="221">
        <v>2.0</v>
      </c>
      <c r="U13" s="2" t="s">
        <v>92</v>
      </c>
      <c r="V13" s="2" t="s">
        <v>667</v>
      </c>
      <c r="W13" s="222"/>
      <c r="X13" s="221">
        <v>2.0</v>
      </c>
      <c r="Y13" s="221">
        <v>2.0</v>
      </c>
      <c r="Z13" s="223">
        <v>0.0</v>
      </c>
      <c r="AA13" s="223">
        <v>0.0</v>
      </c>
      <c r="AB13" s="223">
        <v>0.0</v>
      </c>
      <c r="AC13" s="223">
        <v>0.0</v>
      </c>
      <c r="AD13" s="224">
        <v>0.0</v>
      </c>
      <c r="AE13" s="174">
        <f t="shared" si="1"/>
        <v>15</v>
      </c>
      <c r="AF13" s="225">
        <f t="shared" si="2"/>
        <v>-0.5</v>
      </c>
    </row>
    <row r="14">
      <c r="A14" s="216">
        <v>11.0</v>
      </c>
      <c r="B14" s="62" t="s">
        <v>90</v>
      </c>
      <c r="C14" s="59"/>
      <c r="D14" s="54" t="s">
        <v>88</v>
      </c>
      <c r="E14" s="54" t="s">
        <v>246</v>
      </c>
      <c r="F14" s="2" t="s">
        <v>92</v>
      </c>
      <c r="G14" s="2" t="s">
        <v>667</v>
      </c>
      <c r="H14" s="227"/>
      <c r="I14" s="221">
        <v>2.0</v>
      </c>
      <c r="J14" s="221">
        <v>1.5</v>
      </c>
      <c r="K14" s="2" t="s">
        <v>92</v>
      </c>
      <c r="L14" s="2" t="s">
        <v>667</v>
      </c>
      <c r="M14" s="222"/>
      <c r="N14" s="221">
        <v>1.0</v>
      </c>
      <c r="O14" s="221">
        <v>2.0</v>
      </c>
      <c r="P14" s="2" t="s">
        <v>92</v>
      </c>
      <c r="Q14" s="2" t="s">
        <v>667</v>
      </c>
      <c r="R14" s="222"/>
      <c r="S14" s="221">
        <v>1.5</v>
      </c>
      <c r="T14" s="221">
        <v>2.0</v>
      </c>
      <c r="U14" s="2" t="s">
        <v>92</v>
      </c>
      <c r="V14" s="2" t="s">
        <v>667</v>
      </c>
      <c r="W14" s="222"/>
      <c r="X14" s="221">
        <v>2.0</v>
      </c>
      <c r="Y14" s="221">
        <v>2.0</v>
      </c>
      <c r="Z14" s="223">
        <v>2.0</v>
      </c>
      <c r="AA14" s="223">
        <v>0.0</v>
      </c>
      <c r="AB14" s="223">
        <v>0.0</v>
      </c>
      <c r="AC14" s="223">
        <v>0.0</v>
      </c>
      <c r="AD14" s="224">
        <v>0.0</v>
      </c>
      <c r="AE14" s="174">
        <f t="shared" si="1"/>
        <v>16</v>
      </c>
      <c r="AF14" s="225">
        <f t="shared" si="2"/>
        <v>-1.5</v>
      </c>
    </row>
    <row r="15">
      <c r="A15" s="39">
        <v>12.0</v>
      </c>
      <c r="B15" s="62" t="s">
        <v>90</v>
      </c>
      <c r="C15" s="59"/>
      <c r="D15" s="43" t="s">
        <v>94</v>
      </c>
      <c r="E15" s="43" t="s">
        <v>258</v>
      </c>
      <c r="F15" s="2" t="s">
        <v>92</v>
      </c>
      <c r="G15" s="2" t="s">
        <v>667</v>
      </c>
      <c r="H15" s="220"/>
      <c r="I15" s="221">
        <v>0.0</v>
      </c>
      <c r="J15" s="221">
        <v>2.0</v>
      </c>
      <c r="K15" s="2" t="s">
        <v>92</v>
      </c>
      <c r="L15" s="2" t="s">
        <v>667</v>
      </c>
      <c r="M15" s="222"/>
      <c r="N15" s="221">
        <v>2.0</v>
      </c>
      <c r="O15" s="221">
        <v>2.0</v>
      </c>
      <c r="P15" s="2" t="s">
        <v>92</v>
      </c>
      <c r="Q15" s="2" t="s">
        <v>667</v>
      </c>
      <c r="R15" s="222"/>
      <c r="S15" s="221">
        <v>2.0</v>
      </c>
      <c r="T15" s="221">
        <v>1.5</v>
      </c>
      <c r="U15" s="2" t="s">
        <v>92</v>
      </c>
      <c r="V15" s="2" t="s">
        <v>667</v>
      </c>
      <c r="W15" s="222"/>
      <c r="X15" s="221">
        <v>1.5</v>
      </c>
      <c r="Y15" s="221">
        <v>2.0</v>
      </c>
      <c r="Z15" s="223">
        <v>1.5</v>
      </c>
      <c r="AA15" s="223">
        <v>0.0</v>
      </c>
      <c r="AB15" s="223">
        <v>0.0</v>
      </c>
      <c r="AC15" s="223">
        <v>0.0</v>
      </c>
      <c r="AD15" s="224">
        <v>0.0</v>
      </c>
      <c r="AE15" s="174">
        <f t="shared" si="1"/>
        <v>14.5</v>
      </c>
      <c r="AF15" s="225">
        <f t="shared" si="2"/>
        <v>0</v>
      </c>
    </row>
    <row r="16">
      <c r="A16" s="216">
        <v>13.0</v>
      </c>
      <c r="B16" s="121" t="s">
        <v>90</v>
      </c>
      <c r="C16" s="87"/>
      <c r="D16" s="43" t="s">
        <v>107</v>
      </c>
      <c r="E16" s="46" t="s">
        <v>276</v>
      </c>
      <c r="F16" s="2" t="s">
        <v>92</v>
      </c>
      <c r="G16" s="2" t="s">
        <v>667</v>
      </c>
      <c r="H16" s="220" t="s">
        <v>668</v>
      </c>
      <c r="I16" s="221">
        <v>0.0</v>
      </c>
      <c r="J16" s="221">
        <v>0.0</v>
      </c>
      <c r="K16" s="167" t="s">
        <v>672</v>
      </c>
      <c r="L16" s="167" t="s">
        <v>673</v>
      </c>
      <c r="M16" s="222"/>
      <c r="N16" s="221">
        <v>0.0</v>
      </c>
      <c r="O16" s="221">
        <v>0.0</v>
      </c>
      <c r="P16" s="2" t="s">
        <v>92</v>
      </c>
      <c r="Q16" s="2" t="s">
        <v>667</v>
      </c>
      <c r="R16" s="222"/>
      <c r="S16" s="221">
        <v>2.0</v>
      </c>
      <c r="T16" s="221">
        <v>2.0</v>
      </c>
      <c r="U16" s="2" t="s">
        <v>92</v>
      </c>
      <c r="V16" s="2" t="s">
        <v>667</v>
      </c>
      <c r="W16" s="222"/>
      <c r="X16" s="221">
        <v>1.5</v>
      </c>
      <c r="Y16" s="221">
        <v>1.5</v>
      </c>
      <c r="Z16" s="223">
        <v>2.0</v>
      </c>
      <c r="AA16" s="223">
        <v>0.0</v>
      </c>
      <c r="AB16" s="223">
        <v>0.0</v>
      </c>
      <c r="AC16" s="223">
        <v>0.0</v>
      </c>
      <c r="AD16" s="224">
        <v>1.0</v>
      </c>
      <c r="AE16" s="174">
        <f t="shared" si="1"/>
        <v>9</v>
      </c>
      <c r="AF16" s="225">
        <f t="shared" si="2"/>
        <v>5.5</v>
      </c>
    </row>
    <row r="17">
      <c r="A17" s="39">
        <v>14.0</v>
      </c>
      <c r="B17" s="62" t="s">
        <v>90</v>
      </c>
      <c r="C17" s="59"/>
      <c r="D17" s="43" t="s">
        <v>112</v>
      </c>
      <c r="E17" s="43" t="s">
        <v>292</v>
      </c>
      <c r="F17" s="2" t="s">
        <v>92</v>
      </c>
      <c r="G17" s="2" t="s">
        <v>667</v>
      </c>
      <c r="H17" s="220"/>
      <c r="I17" s="221">
        <v>2.0</v>
      </c>
      <c r="J17" s="221">
        <v>2.0</v>
      </c>
      <c r="K17" s="2" t="s">
        <v>92</v>
      </c>
      <c r="L17" s="2" t="s">
        <v>667</v>
      </c>
      <c r="M17" s="222"/>
      <c r="N17" s="221">
        <v>2.0</v>
      </c>
      <c r="O17" s="221">
        <v>2.0</v>
      </c>
      <c r="P17" s="2" t="s">
        <v>92</v>
      </c>
      <c r="Q17" s="2" t="s">
        <v>667</v>
      </c>
      <c r="R17" s="222"/>
      <c r="S17" s="221">
        <v>2.0</v>
      </c>
      <c r="T17" s="221">
        <v>2.0</v>
      </c>
      <c r="U17" s="2" t="s">
        <v>92</v>
      </c>
      <c r="V17" s="2" t="s">
        <v>667</v>
      </c>
      <c r="W17" s="222"/>
      <c r="X17" s="221">
        <v>2.0</v>
      </c>
      <c r="Y17" s="221">
        <v>2.0</v>
      </c>
      <c r="Z17" s="223">
        <v>2.0</v>
      </c>
      <c r="AA17" s="223">
        <v>0.0</v>
      </c>
      <c r="AB17" s="223">
        <v>0.0</v>
      </c>
      <c r="AC17" s="223">
        <v>0.0</v>
      </c>
      <c r="AD17" s="224">
        <v>0.0</v>
      </c>
      <c r="AE17" s="174">
        <f t="shared" si="1"/>
        <v>18</v>
      </c>
      <c r="AF17" s="225">
        <f t="shared" si="2"/>
        <v>-3.5</v>
      </c>
    </row>
    <row r="18">
      <c r="A18" s="216">
        <v>15.0</v>
      </c>
      <c r="B18" s="62" t="s">
        <v>90</v>
      </c>
      <c r="C18" s="59"/>
      <c r="D18" s="43" t="s">
        <v>112</v>
      </c>
      <c r="E18" s="43" t="s">
        <v>117</v>
      </c>
      <c r="F18" s="2" t="s">
        <v>92</v>
      </c>
      <c r="G18" s="2" t="s">
        <v>667</v>
      </c>
      <c r="H18" s="227"/>
      <c r="I18" s="221">
        <v>2.0</v>
      </c>
      <c r="J18" s="221">
        <v>2.0</v>
      </c>
      <c r="K18" s="2" t="s">
        <v>92</v>
      </c>
      <c r="L18" s="2" t="s">
        <v>667</v>
      </c>
      <c r="M18" s="222"/>
      <c r="N18" s="221">
        <v>2.0</v>
      </c>
      <c r="O18" s="221">
        <v>2.0</v>
      </c>
      <c r="P18" s="2" t="s">
        <v>92</v>
      </c>
      <c r="Q18" s="2" t="s">
        <v>667</v>
      </c>
      <c r="R18" s="222"/>
      <c r="S18" s="221">
        <v>2.0</v>
      </c>
      <c r="T18" s="221">
        <v>2.0</v>
      </c>
      <c r="U18" s="2" t="s">
        <v>92</v>
      </c>
      <c r="V18" s="2" t="s">
        <v>667</v>
      </c>
      <c r="W18" s="222"/>
      <c r="X18" s="221">
        <v>2.0</v>
      </c>
      <c r="Y18" s="221">
        <v>2.0</v>
      </c>
      <c r="Z18" s="223">
        <v>0.0</v>
      </c>
      <c r="AA18" s="223">
        <v>0.0</v>
      </c>
      <c r="AB18" s="223">
        <v>0.0</v>
      </c>
      <c r="AC18" s="223">
        <v>0.0</v>
      </c>
      <c r="AD18" s="224">
        <v>0.0</v>
      </c>
      <c r="AE18" s="174">
        <f t="shared" si="1"/>
        <v>16</v>
      </c>
      <c r="AF18" s="225">
        <f t="shared" si="2"/>
        <v>-1.5</v>
      </c>
    </row>
    <row r="19">
      <c r="A19" s="39">
        <v>16.0</v>
      </c>
      <c r="B19" s="62" t="s">
        <v>90</v>
      </c>
      <c r="C19" s="59"/>
      <c r="D19" s="43" t="s">
        <v>126</v>
      </c>
      <c r="E19" s="43" t="s">
        <v>127</v>
      </c>
      <c r="F19" s="2" t="s">
        <v>92</v>
      </c>
      <c r="G19" s="2" t="s">
        <v>667</v>
      </c>
      <c r="H19" s="227"/>
      <c r="I19" s="221">
        <v>0.0</v>
      </c>
      <c r="J19" s="221">
        <v>0.0</v>
      </c>
      <c r="K19" s="2" t="s">
        <v>92</v>
      </c>
      <c r="L19" s="2" t="s">
        <v>667</v>
      </c>
      <c r="M19" s="222"/>
      <c r="N19" s="221">
        <v>0.0</v>
      </c>
      <c r="O19" s="221">
        <v>2.0</v>
      </c>
      <c r="P19" s="2" t="s">
        <v>92</v>
      </c>
      <c r="Q19" s="2" t="s">
        <v>667</v>
      </c>
      <c r="R19" s="222"/>
      <c r="S19" s="221">
        <v>2.0</v>
      </c>
      <c r="T19" s="221">
        <v>2.0</v>
      </c>
      <c r="U19" s="2" t="s">
        <v>92</v>
      </c>
      <c r="V19" s="2" t="s">
        <v>667</v>
      </c>
      <c r="W19" s="222"/>
      <c r="X19" s="221">
        <v>1.5</v>
      </c>
      <c r="Y19" s="221">
        <v>2.0</v>
      </c>
      <c r="Z19" s="223">
        <v>1.5</v>
      </c>
      <c r="AA19" s="223">
        <v>0.0</v>
      </c>
      <c r="AB19" s="223">
        <v>0.0</v>
      </c>
      <c r="AC19" s="223">
        <v>0.0</v>
      </c>
      <c r="AD19" s="224">
        <v>0.0</v>
      </c>
      <c r="AE19" s="174">
        <f t="shared" si="1"/>
        <v>11</v>
      </c>
      <c r="AF19" s="225">
        <f t="shared" si="2"/>
        <v>3.5</v>
      </c>
    </row>
    <row r="20">
      <c r="A20" s="216">
        <v>17.0</v>
      </c>
      <c r="B20" s="62" t="s">
        <v>90</v>
      </c>
      <c r="C20" s="59"/>
      <c r="D20" s="43" t="s">
        <v>119</v>
      </c>
      <c r="E20" s="43" t="s">
        <v>121</v>
      </c>
      <c r="F20" s="2" t="s">
        <v>92</v>
      </c>
      <c r="G20" s="2" t="s">
        <v>667</v>
      </c>
      <c r="H20" s="227"/>
      <c r="I20" s="228">
        <v>0.0</v>
      </c>
      <c r="J20" s="229">
        <v>1.0</v>
      </c>
      <c r="K20" s="2" t="s">
        <v>92</v>
      </c>
      <c r="L20" s="2" t="s">
        <v>667</v>
      </c>
      <c r="M20" s="222"/>
      <c r="N20" s="229">
        <v>1.0</v>
      </c>
      <c r="O20" s="229">
        <v>2.0</v>
      </c>
      <c r="P20" s="2" t="s">
        <v>92</v>
      </c>
      <c r="Q20" s="2" t="s">
        <v>667</v>
      </c>
      <c r="R20" s="222"/>
      <c r="S20" s="229">
        <v>1.0</v>
      </c>
      <c r="T20" s="229">
        <v>1.0</v>
      </c>
      <c r="U20" s="167" t="s">
        <v>672</v>
      </c>
      <c r="V20" s="167" t="s">
        <v>673</v>
      </c>
      <c r="W20" s="222"/>
      <c r="X20" s="228">
        <v>0.0</v>
      </c>
      <c r="Y20" s="229">
        <v>0.0</v>
      </c>
      <c r="Z20" s="230">
        <v>1.0</v>
      </c>
      <c r="AA20" s="231">
        <v>0.0</v>
      </c>
      <c r="AB20" s="231">
        <v>0.0</v>
      </c>
      <c r="AC20" s="231">
        <v>0.0</v>
      </c>
      <c r="AD20" s="224">
        <v>1.0</v>
      </c>
      <c r="AE20" s="174">
        <f t="shared" si="1"/>
        <v>7</v>
      </c>
      <c r="AF20" s="225">
        <f t="shared" si="2"/>
        <v>7.5</v>
      </c>
    </row>
    <row r="21">
      <c r="A21" s="39">
        <v>18.0</v>
      </c>
      <c r="B21" s="62" t="s">
        <v>90</v>
      </c>
      <c r="C21" s="59"/>
      <c r="D21" s="54" t="s">
        <v>135</v>
      </c>
      <c r="E21" s="54" t="s">
        <v>136</v>
      </c>
      <c r="F21" s="2" t="s">
        <v>92</v>
      </c>
      <c r="G21" s="2" t="s">
        <v>667</v>
      </c>
      <c r="H21" s="227"/>
      <c r="I21" s="221">
        <v>0.0</v>
      </c>
      <c r="J21" s="221">
        <v>2.0</v>
      </c>
      <c r="K21" s="2" t="s">
        <v>92</v>
      </c>
      <c r="L21" s="2" t="s">
        <v>667</v>
      </c>
      <c r="M21" s="222"/>
      <c r="N21" s="221">
        <v>2.0</v>
      </c>
      <c r="O21" s="221">
        <v>2.0</v>
      </c>
      <c r="P21" s="2" t="s">
        <v>92</v>
      </c>
      <c r="Q21" s="2" t="s">
        <v>667</v>
      </c>
      <c r="R21" s="222"/>
      <c r="S21" s="221">
        <v>1.5</v>
      </c>
      <c r="T21" s="221">
        <v>2.0</v>
      </c>
      <c r="U21" s="2" t="s">
        <v>92</v>
      </c>
      <c r="V21" s="2" t="s">
        <v>667</v>
      </c>
      <c r="W21" s="222"/>
      <c r="X21" s="221">
        <v>0.0</v>
      </c>
      <c r="Y21" s="221">
        <v>2.0</v>
      </c>
      <c r="Z21" s="223">
        <v>2.0</v>
      </c>
      <c r="AA21" s="223">
        <v>0.0</v>
      </c>
      <c r="AB21" s="223">
        <v>0.0</v>
      </c>
      <c r="AC21" s="223">
        <v>0.0</v>
      </c>
      <c r="AD21" s="224">
        <v>0.0</v>
      </c>
      <c r="AE21" s="174">
        <f t="shared" si="1"/>
        <v>13.5</v>
      </c>
      <c r="AF21" s="225">
        <f t="shared" si="2"/>
        <v>1</v>
      </c>
    </row>
    <row r="22">
      <c r="A22" s="216">
        <v>19.0</v>
      </c>
      <c r="B22" s="62" t="s">
        <v>90</v>
      </c>
      <c r="C22" s="59"/>
      <c r="D22" s="43" t="s">
        <v>138</v>
      </c>
      <c r="E22" s="43" t="s">
        <v>139</v>
      </c>
      <c r="F22" s="2" t="s">
        <v>92</v>
      </c>
      <c r="G22" s="2" t="s">
        <v>667</v>
      </c>
      <c r="H22" s="227"/>
      <c r="I22" s="221">
        <v>2.0</v>
      </c>
      <c r="J22" s="221">
        <v>2.0</v>
      </c>
      <c r="K22" s="2" t="s">
        <v>92</v>
      </c>
      <c r="L22" s="2" t="s">
        <v>667</v>
      </c>
      <c r="M22" s="222"/>
      <c r="N22" s="221">
        <v>2.0</v>
      </c>
      <c r="O22" s="221">
        <v>2.0</v>
      </c>
      <c r="P22" s="2" t="s">
        <v>92</v>
      </c>
      <c r="Q22" s="2" t="s">
        <v>667</v>
      </c>
      <c r="R22" s="222"/>
      <c r="S22" s="221">
        <v>2.0</v>
      </c>
      <c r="T22" s="221">
        <v>2.0</v>
      </c>
      <c r="U22" s="2" t="s">
        <v>92</v>
      </c>
      <c r="V22" s="2" t="s">
        <v>667</v>
      </c>
      <c r="W22" s="222"/>
      <c r="X22" s="221">
        <v>2.0</v>
      </c>
      <c r="Y22" s="221">
        <v>2.0</v>
      </c>
      <c r="Z22" s="223">
        <v>0.0</v>
      </c>
      <c r="AA22" s="223">
        <v>0.0</v>
      </c>
      <c r="AB22" s="223">
        <v>0.0</v>
      </c>
      <c r="AC22" s="223">
        <v>0.0</v>
      </c>
      <c r="AD22" s="224">
        <v>0.0</v>
      </c>
      <c r="AE22" s="174">
        <f t="shared" si="1"/>
        <v>16</v>
      </c>
      <c r="AF22" s="225">
        <f t="shared" si="2"/>
        <v>-1.5</v>
      </c>
    </row>
    <row r="23">
      <c r="A23" s="39">
        <v>20.0</v>
      </c>
      <c r="B23" s="62" t="s">
        <v>90</v>
      </c>
      <c r="C23" s="59"/>
      <c r="D23" s="43" t="s">
        <v>146</v>
      </c>
      <c r="E23" s="43" t="s">
        <v>149</v>
      </c>
      <c r="F23" s="2" t="s">
        <v>92</v>
      </c>
      <c r="G23" s="2" t="s">
        <v>667</v>
      </c>
      <c r="H23" s="227"/>
      <c r="I23" s="221">
        <v>2.0</v>
      </c>
      <c r="J23" s="221">
        <v>2.0</v>
      </c>
      <c r="K23" s="2" t="s">
        <v>92</v>
      </c>
      <c r="L23" s="2" t="s">
        <v>667</v>
      </c>
      <c r="M23" s="222"/>
      <c r="N23" s="221">
        <v>2.0</v>
      </c>
      <c r="O23" s="221">
        <v>2.0</v>
      </c>
      <c r="P23" s="2" t="s">
        <v>92</v>
      </c>
      <c r="Q23" s="2" t="s">
        <v>667</v>
      </c>
      <c r="R23" s="222"/>
      <c r="S23" s="221">
        <v>2.0</v>
      </c>
      <c r="T23" s="221">
        <v>2.0</v>
      </c>
      <c r="U23" s="2" t="s">
        <v>92</v>
      </c>
      <c r="V23" s="2" t="s">
        <v>667</v>
      </c>
      <c r="W23" s="222"/>
      <c r="X23" s="221">
        <v>2.0</v>
      </c>
      <c r="Y23" s="221">
        <v>2.0</v>
      </c>
      <c r="Z23" s="223">
        <v>2.0</v>
      </c>
      <c r="AA23" s="223">
        <v>0.0</v>
      </c>
      <c r="AB23" s="223">
        <v>0.0</v>
      </c>
      <c r="AC23" s="223">
        <v>0.0</v>
      </c>
      <c r="AD23" s="224">
        <v>0.0</v>
      </c>
      <c r="AE23" s="174">
        <f t="shared" si="1"/>
        <v>18</v>
      </c>
      <c r="AF23" s="225">
        <f t="shared" si="2"/>
        <v>-3.5</v>
      </c>
    </row>
    <row r="24">
      <c r="A24" s="216">
        <v>21.0</v>
      </c>
      <c r="B24" s="105" t="s">
        <v>90</v>
      </c>
      <c r="C24" s="68"/>
      <c r="D24" s="74" t="s">
        <v>153</v>
      </c>
      <c r="E24" s="74" t="s">
        <v>154</v>
      </c>
      <c r="F24" s="167" t="s">
        <v>672</v>
      </c>
      <c r="G24" s="167" t="s">
        <v>673</v>
      </c>
      <c r="H24" s="220" t="s">
        <v>674</v>
      </c>
      <c r="I24" s="221">
        <v>2.0</v>
      </c>
      <c r="J24" s="221">
        <v>2.0</v>
      </c>
      <c r="K24" s="2" t="s">
        <v>92</v>
      </c>
      <c r="L24" s="2" t="s">
        <v>667</v>
      </c>
      <c r="M24" s="222"/>
      <c r="N24" s="221">
        <v>1.5</v>
      </c>
      <c r="O24" s="221">
        <v>2.0</v>
      </c>
      <c r="P24" s="2" t="s">
        <v>92</v>
      </c>
      <c r="Q24" s="2" t="s">
        <v>667</v>
      </c>
      <c r="R24" s="222"/>
      <c r="S24" s="221">
        <v>2.0</v>
      </c>
      <c r="T24" s="221">
        <v>2.0</v>
      </c>
      <c r="U24" s="2" t="s">
        <v>92</v>
      </c>
      <c r="V24" s="2" t="s">
        <v>667</v>
      </c>
      <c r="W24" s="222"/>
      <c r="X24" s="221">
        <v>2.0</v>
      </c>
      <c r="Y24" s="221">
        <v>2.0</v>
      </c>
      <c r="Z24" s="223">
        <v>2.0</v>
      </c>
      <c r="AA24" s="223">
        <v>0.0</v>
      </c>
      <c r="AB24" s="223">
        <v>0.0</v>
      </c>
      <c r="AC24" s="223">
        <v>0.0</v>
      </c>
      <c r="AD24" s="224">
        <v>1.0</v>
      </c>
      <c r="AE24" s="174">
        <f t="shared" si="1"/>
        <v>17.5</v>
      </c>
      <c r="AF24" s="225">
        <f t="shared" si="2"/>
        <v>-3</v>
      </c>
    </row>
    <row r="25">
      <c r="A25" s="39">
        <v>22.0</v>
      </c>
      <c r="B25" s="62" t="s">
        <v>90</v>
      </c>
      <c r="C25" s="59"/>
      <c r="D25" s="54" t="s">
        <v>162</v>
      </c>
      <c r="E25" s="54" t="s">
        <v>163</v>
      </c>
      <c r="F25" s="2" t="s">
        <v>92</v>
      </c>
      <c r="G25" s="2" t="s">
        <v>667</v>
      </c>
      <c r="H25" s="227"/>
      <c r="I25" s="221">
        <v>2.0</v>
      </c>
      <c r="J25" s="221">
        <v>2.0</v>
      </c>
      <c r="K25" s="2" t="s">
        <v>92</v>
      </c>
      <c r="L25" s="2" t="s">
        <v>667</v>
      </c>
      <c r="M25" s="222"/>
      <c r="N25" s="221">
        <v>2.0</v>
      </c>
      <c r="O25" s="221">
        <v>2.0</v>
      </c>
      <c r="P25" s="2" t="s">
        <v>92</v>
      </c>
      <c r="Q25" s="2" t="s">
        <v>667</v>
      </c>
      <c r="R25" s="222"/>
      <c r="S25" s="221">
        <v>2.0</v>
      </c>
      <c r="T25" s="221">
        <v>1.5</v>
      </c>
      <c r="U25" s="2" t="s">
        <v>92</v>
      </c>
      <c r="V25" s="2" t="s">
        <v>667</v>
      </c>
      <c r="W25" s="222"/>
      <c r="X25" s="221">
        <v>2.0</v>
      </c>
      <c r="Y25" s="221">
        <v>2.0</v>
      </c>
      <c r="Z25" s="223">
        <v>0.0</v>
      </c>
      <c r="AA25" s="223">
        <v>0.0</v>
      </c>
      <c r="AB25" s="223">
        <v>0.0</v>
      </c>
      <c r="AC25" s="223">
        <v>0.0</v>
      </c>
      <c r="AD25" s="224">
        <v>0.0</v>
      </c>
      <c r="AE25" s="174">
        <f t="shared" si="1"/>
        <v>15.5</v>
      </c>
      <c r="AF25" s="225">
        <f t="shared" si="2"/>
        <v>-1</v>
      </c>
    </row>
    <row r="26">
      <c r="A26" s="216">
        <v>23.0</v>
      </c>
      <c r="B26" s="105" t="s">
        <v>90</v>
      </c>
      <c r="C26" s="68"/>
      <c r="D26" s="70" t="s">
        <v>165</v>
      </c>
      <c r="E26" s="74" t="s">
        <v>166</v>
      </c>
      <c r="F26" s="167" t="s">
        <v>92</v>
      </c>
      <c r="G26" s="167" t="s">
        <v>667</v>
      </c>
      <c r="H26" s="227"/>
      <c r="I26" s="221">
        <v>2.0</v>
      </c>
      <c r="J26" s="221">
        <v>2.0</v>
      </c>
      <c r="K26" s="167" t="s">
        <v>672</v>
      </c>
      <c r="L26" s="167" t="s">
        <v>673</v>
      </c>
      <c r="M26" s="222"/>
      <c r="N26" s="221">
        <v>0.0</v>
      </c>
      <c r="O26" s="221">
        <v>0.0</v>
      </c>
      <c r="P26" s="2" t="s">
        <v>92</v>
      </c>
      <c r="Q26" s="2" t="s">
        <v>667</v>
      </c>
      <c r="R26" s="222"/>
      <c r="S26" s="221">
        <v>2.0</v>
      </c>
      <c r="T26" s="221">
        <v>2.0</v>
      </c>
      <c r="U26" s="2" t="s">
        <v>92</v>
      </c>
      <c r="V26" s="2" t="s">
        <v>667</v>
      </c>
      <c r="W26" s="222"/>
      <c r="X26" s="221">
        <v>2.0</v>
      </c>
      <c r="Y26" s="221">
        <v>2.0</v>
      </c>
      <c r="Z26" s="223">
        <v>0.0</v>
      </c>
      <c r="AA26" s="223">
        <v>0.0</v>
      </c>
      <c r="AB26" s="223">
        <v>0.0</v>
      </c>
      <c r="AC26" s="223">
        <v>0.0</v>
      </c>
      <c r="AD26" s="224">
        <v>1.0</v>
      </c>
      <c r="AE26" s="174">
        <f t="shared" si="1"/>
        <v>12</v>
      </c>
      <c r="AF26" s="225">
        <f t="shared" si="2"/>
        <v>2.5</v>
      </c>
    </row>
    <row r="27">
      <c r="A27" s="39">
        <v>24.0</v>
      </c>
      <c r="B27" s="62" t="s">
        <v>90</v>
      </c>
      <c r="C27" s="59"/>
      <c r="D27" s="43" t="s">
        <v>175</v>
      </c>
      <c r="E27" s="43" t="s">
        <v>80</v>
      </c>
      <c r="F27" s="2" t="s">
        <v>92</v>
      </c>
      <c r="G27" s="2" t="s">
        <v>667</v>
      </c>
      <c r="H27" s="227"/>
      <c r="I27" s="221">
        <v>1.0</v>
      </c>
      <c r="J27" s="221">
        <v>1.5</v>
      </c>
      <c r="K27" s="2" t="s">
        <v>92</v>
      </c>
      <c r="L27" s="2" t="s">
        <v>667</v>
      </c>
      <c r="M27" s="222"/>
      <c r="N27" s="221">
        <v>0.5</v>
      </c>
      <c r="O27" s="221">
        <v>2.0</v>
      </c>
      <c r="P27" s="2" t="s">
        <v>92</v>
      </c>
      <c r="Q27" s="2" t="s">
        <v>667</v>
      </c>
      <c r="R27" s="222"/>
      <c r="S27" s="221">
        <v>2.0</v>
      </c>
      <c r="T27" s="221">
        <v>2.0</v>
      </c>
      <c r="U27" s="2" t="s">
        <v>92</v>
      </c>
      <c r="V27" s="2" t="s">
        <v>667</v>
      </c>
      <c r="W27" s="222"/>
      <c r="X27" s="221">
        <v>2.0</v>
      </c>
      <c r="Y27" s="221">
        <v>2.0</v>
      </c>
      <c r="Z27" s="223">
        <v>1.0</v>
      </c>
      <c r="AA27" s="223">
        <v>0.0</v>
      </c>
      <c r="AB27" s="223">
        <v>0.0</v>
      </c>
      <c r="AC27" s="223">
        <v>0.0</v>
      </c>
      <c r="AD27" s="224">
        <v>0.0</v>
      </c>
      <c r="AE27" s="174">
        <f t="shared" si="1"/>
        <v>14</v>
      </c>
      <c r="AF27" s="225">
        <f t="shared" si="2"/>
        <v>0.5</v>
      </c>
    </row>
    <row r="28">
      <c r="A28" s="216">
        <v>25.0</v>
      </c>
      <c r="B28" s="62" t="s">
        <v>90</v>
      </c>
      <c r="C28" s="59"/>
      <c r="D28" s="46" t="s">
        <v>180</v>
      </c>
      <c r="E28" s="46" t="s">
        <v>181</v>
      </c>
      <c r="F28" s="2" t="s">
        <v>92</v>
      </c>
      <c r="G28" s="2" t="s">
        <v>667</v>
      </c>
      <c r="H28" s="227"/>
      <c r="I28" s="221">
        <v>2.0</v>
      </c>
      <c r="J28" s="221">
        <v>2.0</v>
      </c>
      <c r="K28" s="2" t="s">
        <v>92</v>
      </c>
      <c r="L28" s="2" t="s">
        <v>667</v>
      </c>
      <c r="M28" s="222"/>
      <c r="N28" s="221">
        <v>2.0</v>
      </c>
      <c r="O28" s="221">
        <v>2.0</v>
      </c>
      <c r="P28" s="2" t="s">
        <v>92</v>
      </c>
      <c r="Q28" s="2" t="s">
        <v>667</v>
      </c>
      <c r="R28" s="222"/>
      <c r="S28" s="221">
        <v>2.0</v>
      </c>
      <c r="T28" s="221">
        <v>2.0</v>
      </c>
      <c r="U28" s="2" t="s">
        <v>92</v>
      </c>
      <c r="V28" s="2" t="s">
        <v>667</v>
      </c>
      <c r="W28" s="222"/>
      <c r="X28" s="221">
        <v>2.0</v>
      </c>
      <c r="Y28" s="221">
        <v>2.0</v>
      </c>
      <c r="Z28" s="223">
        <v>2.0</v>
      </c>
      <c r="AA28" s="223">
        <v>0.0</v>
      </c>
      <c r="AB28" s="223">
        <v>0.0</v>
      </c>
      <c r="AC28" s="223">
        <v>0.0</v>
      </c>
      <c r="AD28" s="224">
        <v>0.0</v>
      </c>
      <c r="AE28" s="174">
        <f t="shared" si="1"/>
        <v>18</v>
      </c>
      <c r="AF28" s="225">
        <f t="shared" si="2"/>
        <v>-3.5</v>
      </c>
    </row>
    <row r="29">
      <c r="A29" s="39">
        <v>26.0</v>
      </c>
      <c r="B29" s="105" t="s">
        <v>90</v>
      </c>
      <c r="C29" s="68"/>
      <c r="D29" s="70" t="s">
        <v>184</v>
      </c>
      <c r="E29" s="74" t="s">
        <v>185</v>
      </c>
      <c r="F29" s="2" t="s">
        <v>92</v>
      </c>
      <c r="G29" s="2" t="s">
        <v>667</v>
      </c>
      <c r="H29" s="220" t="s">
        <v>669</v>
      </c>
      <c r="I29" s="221">
        <v>2.0</v>
      </c>
      <c r="J29" s="221">
        <v>2.0</v>
      </c>
      <c r="K29" s="167" t="s">
        <v>672</v>
      </c>
      <c r="L29" s="167" t="s">
        <v>673</v>
      </c>
      <c r="M29" s="222"/>
      <c r="N29" s="221">
        <v>0.0</v>
      </c>
      <c r="O29" s="221">
        <v>0.0</v>
      </c>
      <c r="P29" s="2" t="s">
        <v>92</v>
      </c>
      <c r="Q29" s="2" t="s">
        <v>667</v>
      </c>
      <c r="R29" s="222"/>
      <c r="S29" s="221">
        <v>2.0</v>
      </c>
      <c r="T29" s="221">
        <v>2.0</v>
      </c>
      <c r="U29" s="2" t="s">
        <v>92</v>
      </c>
      <c r="V29" s="2" t="s">
        <v>667</v>
      </c>
      <c r="W29" s="222"/>
      <c r="X29" s="221">
        <v>2.0</v>
      </c>
      <c r="Y29" s="221">
        <v>2.0</v>
      </c>
      <c r="Z29" s="223">
        <v>0.0</v>
      </c>
      <c r="AA29" s="223">
        <v>0.0</v>
      </c>
      <c r="AB29" s="223">
        <v>0.0</v>
      </c>
      <c r="AC29" s="223">
        <v>0.0</v>
      </c>
      <c r="AD29" s="224">
        <v>1.0</v>
      </c>
      <c r="AE29" s="174">
        <f t="shared" si="1"/>
        <v>12</v>
      </c>
      <c r="AF29" s="225">
        <f t="shared" si="2"/>
        <v>2.5</v>
      </c>
    </row>
    <row r="30">
      <c r="A30" s="216">
        <v>27.0</v>
      </c>
      <c r="B30" s="62" t="s">
        <v>90</v>
      </c>
      <c r="C30" s="59"/>
      <c r="D30" s="54" t="s">
        <v>193</v>
      </c>
      <c r="E30" s="54" t="s">
        <v>194</v>
      </c>
      <c r="F30" s="218" t="s">
        <v>92</v>
      </c>
      <c r="G30" s="2" t="s">
        <v>667</v>
      </c>
      <c r="H30" s="227"/>
      <c r="I30" s="221">
        <v>0.0</v>
      </c>
      <c r="J30" s="221">
        <v>2.0</v>
      </c>
      <c r="K30" s="2" t="s">
        <v>92</v>
      </c>
      <c r="L30" s="2" t="s">
        <v>667</v>
      </c>
      <c r="M30" s="222"/>
      <c r="N30" s="221">
        <v>2.0</v>
      </c>
      <c r="O30" s="221">
        <v>2.0</v>
      </c>
      <c r="P30" s="2" t="s">
        <v>92</v>
      </c>
      <c r="Q30" s="2" t="s">
        <v>667</v>
      </c>
      <c r="R30" s="222"/>
      <c r="S30" s="221">
        <v>1.5</v>
      </c>
      <c r="T30" s="221">
        <v>2.0</v>
      </c>
      <c r="U30" s="2" t="s">
        <v>92</v>
      </c>
      <c r="V30" s="2" t="s">
        <v>667</v>
      </c>
      <c r="W30" s="222"/>
      <c r="X30" s="221">
        <v>1.5</v>
      </c>
      <c r="Y30" s="221">
        <v>2.0</v>
      </c>
      <c r="Z30" s="223">
        <v>1.5</v>
      </c>
      <c r="AA30" s="223">
        <v>0.0</v>
      </c>
      <c r="AB30" s="223">
        <v>0.0</v>
      </c>
      <c r="AC30" s="223">
        <v>0.0</v>
      </c>
      <c r="AD30" s="224">
        <v>0.0</v>
      </c>
      <c r="AE30" s="174">
        <f t="shared" si="1"/>
        <v>14.5</v>
      </c>
      <c r="AF30" s="225">
        <f t="shared" si="2"/>
        <v>0</v>
      </c>
    </row>
    <row r="31">
      <c r="A31" s="39">
        <v>28.0</v>
      </c>
      <c r="B31" s="62" t="s">
        <v>90</v>
      </c>
      <c r="C31" s="59"/>
      <c r="D31" s="54" t="s">
        <v>199</v>
      </c>
      <c r="E31" s="54" t="s">
        <v>200</v>
      </c>
      <c r="F31" s="218" t="s">
        <v>92</v>
      </c>
      <c r="G31" s="2" t="s">
        <v>667</v>
      </c>
      <c r="H31" s="227"/>
      <c r="I31" s="221">
        <v>2.0</v>
      </c>
      <c r="J31" s="221">
        <v>2.0</v>
      </c>
      <c r="K31" s="2" t="s">
        <v>92</v>
      </c>
      <c r="L31" s="2" t="s">
        <v>667</v>
      </c>
      <c r="M31" s="222"/>
      <c r="N31" s="221">
        <v>2.0</v>
      </c>
      <c r="O31" s="221">
        <v>2.0</v>
      </c>
      <c r="P31" s="2" t="s">
        <v>92</v>
      </c>
      <c r="Q31" s="2" t="s">
        <v>667</v>
      </c>
      <c r="R31" s="222"/>
      <c r="S31" s="221">
        <v>2.0</v>
      </c>
      <c r="T31" s="221">
        <v>2.0</v>
      </c>
      <c r="U31" s="2" t="s">
        <v>92</v>
      </c>
      <c r="V31" s="2" t="s">
        <v>667</v>
      </c>
      <c r="W31" s="222"/>
      <c r="X31" s="221">
        <v>2.0</v>
      </c>
      <c r="Y31" s="221">
        <v>2.0</v>
      </c>
      <c r="Z31" s="223">
        <v>0.0</v>
      </c>
      <c r="AA31" s="223">
        <v>0.0</v>
      </c>
      <c r="AB31" s="223">
        <v>0.0</v>
      </c>
      <c r="AC31" s="223">
        <v>0.0</v>
      </c>
      <c r="AD31" s="224">
        <v>2.0</v>
      </c>
      <c r="AE31" s="174">
        <f t="shared" si="1"/>
        <v>16</v>
      </c>
      <c r="AF31" s="225">
        <f t="shared" si="2"/>
        <v>-1.5</v>
      </c>
    </row>
    <row r="32">
      <c r="A32" s="216">
        <v>29.0</v>
      </c>
      <c r="B32" s="62" t="s">
        <v>90</v>
      </c>
      <c r="C32" s="59"/>
      <c r="D32" s="46" t="s">
        <v>206</v>
      </c>
      <c r="E32" s="46" t="s">
        <v>397</v>
      </c>
      <c r="F32" s="218" t="s">
        <v>92</v>
      </c>
      <c r="G32" s="2" t="s">
        <v>667</v>
      </c>
      <c r="H32" s="227"/>
      <c r="I32" s="221">
        <v>0.0</v>
      </c>
      <c r="J32" s="221">
        <v>2.0</v>
      </c>
      <c r="K32" s="2" t="s">
        <v>92</v>
      </c>
      <c r="L32" s="2" t="s">
        <v>667</v>
      </c>
      <c r="M32" s="222"/>
      <c r="N32" s="221">
        <v>2.0</v>
      </c>
      <c r="O32" s="221">
        <v>2.0</v>
      </c>
      <c r="P32" s="2" t="s">
        <v>92</v>
      </c>
      <c r="Q32" s="2" t="s">
        <v>667</v>
      </c>
      <c r="R32" s="222"/>
      <c r="S32" s="221">
        <v>2.0</v>
      </c>
      <c r="T32" s="221">
        <v>2.0</v>
      </c>
      <c r="U32" s="2" t="s">
        <v>92</v>
      </c>
      <c r="V32" s="2" t="s">
        <v>667</v>
      </c>
      <c r="W32" s="222"/>
      <c r="X32" s="221">
        <v>2.0</v>
      </c>
      <c r="Y32" s="221">
        <v>2.0</v>
      </c>
      <c r="Z32" s="223">
        <v>2.0</v>
      </c>
      <c r="AA32" s="223">
        <v>0.0</v>
      </c>
      <c r="AB32" s="223">
        <v>0.0</v>
      </c>
      <c r="AC32" s="223">
        <v>0.0</v>
      </c>
      <c r="AD32" s="224">
        <v>0.0</v>
      </c>
      <c r="AE32" s="174">
        <f t="shared" si="1"/>
        <v>16</v>
      </c>
      <c r="AF32" s="225">
        <f t="shared" si="2"/>
        <v>-1.5</v>
      </c>
    </row>
    <row r="33">
      <c r="A33" s="39">
        <v>30.0</v>
      </c>
      <c r="B33" s="62" t="s">
        <v>90</v>
      </c>
      <c r="C33" s="59"/>
      <c r="D33" s="36" t="s">
        <v>210</v>
      </c>
      <c r="E33" s="36" t="s">
        <v>211</v>
      </c>
      <c r="F33" s="219" t="s">
        <v>672</v>
      </c>
      <c r="G33" s="167" t="s">
        <v>673</v>
      </c>
      <c r="H33" s="227"/>
      <c r="I33" s="221">
        <v>2.0</v>
      </c>
      <c r="J33" s="221">
        <v>0.0</v>
      </c>
      <c r="K33" s="2" t="s">
        <v>92</v>
      </c>
      <c r="L33" s="2" t="s">
        <v>667</v>
      </c>
      <c r="M33" s="222"/>
      <c r="N33" s="221">
        <v>2.0</v>
      </c>
      <c r="O33" s="221">
        <v>2.0</v>
      </c>
      <c r="P33" s="2" t="s">
        <v>92</v>
      </c>
      <c r="Q33" s="2" t="s">
        <v>667</v>
      </c>
      <c r="R33" s="222"/>
      <c r="S33" s="221">
        <v>1.5</v>
      </c>
      <c r="T33" s="221">
        <v>2.0</v>
      </c>
      <c r="U33" s="2" t="s">
        <v>92</v>
      </c>
      <c r="V33" s="2" t="s">
        <v>667</v>
      </c>
      <c r="W33" s="222"/>
      <c r="X33" s="221">
        <v>2.0</v>
      </c>
      <c r="Y33" s="221">
        <v>2.0</v>
      </c>
      <c r="Z33" s="223">
        <v>2.0</v>
      </c>
      <c r="AA33" s="223">
        <v>0.0</v>
      </c>
      <c r="AB33" s="223">
        <v>0.0</v>
      </c>
      <c r="AC33" s="223">
        <v>0.0</v>
      </c>
      <c r="AD33" s="224">
        <v>1.0</v>
      </c>
      <c r="AE33" s="174">
        <f t="shared" si="1"/>
        <v>15.5</v>
      </c>
      <c r="AF33" s="225">
        <f t="shared" si="2"/>
        <v>-1</v>
      </c>
    </row>
    <row r="34">
      <c r="A34" s="216">
        <v>31.0</v>
      </c>
      <c r="B34" s="62" t="s">
        <v>90</v>
      </c>
      <c r="C34" s="59"/>
      <c r="D34" s="43" t="s">
        <v>219</v>
      </c>
      <c r="E34" s="43" t="s">
        <v>415</v>
      </c>
      <c r="F34" s="218" t="s">
        <v>92</v>
      </c>
      <c r="G34" s="2" t="s">
        <v>667</v>
      </c>
      <c r="H34" s="227"/>
      <c r="I34" s="221">
        <v>2.0</v>
      </c>
      <c r="J34" s="221">
        <v>2.0</v>
      </c>
      <c r="K34" s="2" t="s">
        <v>92</v>
      </c>
      <c r="L34" s="2" t="s">
        <v>667</v>
      </c>
      <c r="M34" s="222"/>
      <c r="N34" s="221">
        <v>2.0</v>
      </c>
      <c r="O34" s="221">
        <v>2.0</v>
      </c>
      <c r="P34" s="2" t="s">
        <v>92</v>
      </c>
      <c r="Q34" s="2" t="s">
        <v>667</v>
      </c>
      <c r="R34" s="222"/>
      <c r="S34" s="221">
        <v>2.0</v>
      </c>
      <c r="T34" s="221">
        <v>2.0</v>
      </c>
      <c r="U34" s="2" t="s">
        <v>92</v>
      </c>
      <c r="V34" s="2" t="s">
        <v>667</v>
      </c>
      <c r="W34" s="222"/>
      <c r="X34" s="221">
        <v>2.0</v>
      </c>
      <c r="Y34" s="221">
        <v>2.0</v>
      </c>
      <c r="Z34" s="223">
        <v>2.0</v>
      </c>
      <c r="AA34" s="223">
        <v>0.0</v>
      </c>
      <c r="AB34" s="223">
        <v>0.0</v>
      </c>
      <c r="AC34" s="223">
        <v>0.0</v>
      </c>
      <c r="AD34" s="224">
        <v>0.0</v>
      </c>
      <c r="AE34" s="174">
        <f t="shared" si="1"/>
        <v>18</v>
      </c>
      <c r="AF34" s="225">
        <f t="shared" si="2"/>
        <v>-3.5</v>
      </c>
    </row>
    <row r="35">
      <c r="A35" s="39">
        <v>32.0</v>
      </c>
      <c r="B35" s="62" t="s">
        <v>90</v>
      </c>
      <c r="C35" s="55" t="s">
        <v>99</v>
      </c>
      <c r="D35" s="43" t="s">
        <v>219</v>
      </c>
      <c r="E35" s="43" t="s">
        <v>225</v>
      </c>
      <c r="F35" s="218" t="s">
        <v>92</v>
      </c>
      <c r="G35" s="2" t="s">
        <v>667</v>
      </c>
      <c r="H35" s="227"/>
      <c r="I35" s="221">
        <v>2.0</v>
      </c>
      <c r="J35" s="221">
        <v>2.0</v>
      </c>
      <c r="K35" s="2" t="s">
        <v>92</v>
      </c>
      <c r="L35" s="2" t="s">
        <v>667</v>
      </c>
      <c r="M35" s="222"/>
      <c r="N35" s="221">
        <v>2.0</v>
      </c>
      <c r="O35" s="221">
        <v>2.0</v>
      </c>
      <c r="P35" s="2" t="s">
        <v>92</v>
      </c>
      <c r="Q35" s="2" t="s">
        <v>667</v>
      </c>
      <c r="R35" s="222"/>
      <c r="S35" s="221">
        <v>2.0</v>
      </c>
      <c r="T35" s="221">
        <v>2.0</v>
      </c>
      <c r="U35" s="2" t="s">
        <v>92</v>
      </c>
      <c r="V35" s="2" t="s">
        <v>667</v>
      </c>
      <c r="W35" s="222"/>
      <c r="X35" s="221">
        <v>2.0</v>
      </c>
      <c r="Y35" s="221">
        <v>2.0</v>
      </c>
      <c r="Z35" s="223">
        <v>2.0</v>
      </c>
      <c r="AA35" s="223">
        <v>0.0</v>
      </c>
      <c r="AB35" s="223">
        <v>0.0</v>
      </c>
      <c r="AC35" s="223">
        <v>0.0</v>
      </c>
      <c r="AD35" s="224">
        <v>0.0</v>
      </c>
      <c r="AE35" s="174">
        <f t="shared" si="1"/>
        <v>18</v>
      </c>
      <c r="AF35" s="225">
        <f t="shared" si="2"/>
        <v>-3.5</v>
      </c>
    </row>
    <row r="36">
      <c r="A36" s="216">
        <v>33.0</v>
      </c>
      <c r="B36" s="62" t="s">
        <v>90</v>
      </c>
      <c r="C36" s="59"/>
      <c r="D36" s="99" t="s">
        <v>233</v>
      </c>
      <c r="E36" s="99" t="s">
        <v>234</v>
      </c>
      <c r="F36" s="218" t="s">
        <v>92</v>
      </c>
      <c r="G36" s="2" t="s">
        <v>667</v>
      </c>
      <c r="H36" s="227"/>
      <c r="I36" s="221">
        <v>2.0</v>
      </c>
      <c r="J36" s="221">
        <v>2.0</v>
      </c>
      <c r="K36" s="2" t="s">
        <v>92</v>
      </c>
      <c r="L36" s="2" t="s">
        <v>667</v>
      </c>
      <c r="M36" s="222"/>
      <c r="N36" s="221">
        <v>2.0</v>
      </c>
      <c r="O36" s="221">
        <v>2.0</v>
      </c>
      <c r="P36" s="2" t="s">
        <v>92</v>
      </c>
      <c r="Q36" s="2" t="s">
        <v>667</v>
      </c>
      <c r="R36" s="222"/>
      <c r="S36" s="221">
        <v>2.0</v>
      </c>
      <c r="T36" s="221">
        <v>2.0</v>
      </c>
      <c r="U36" s="2" t="s">
        <v>92</v>
      </c>
      <c r="V36" s="2" t="s">
        <v>667</v>
      </c>
      <c r="W36" s="222"/>
      <c r="X36" s="221">
        <v>2.0</v>
      </c>
      <c r="Y36" s="221">
        <v>2.0</v>
      </c>
      <c r="Z36" s="223">
        <v>0.0</v>
      </c>
      <c r="AA36" s="223">
        <v>0.0</v>
      </c>
      <c r="AB36" s="223">
        <v>0.0</v>
      </c>
      <c r="AC36" s="223">
        <v>0.0</v>
      </c>
      <c r="AD36" s="224">
        <v>0.0</v>
      </c>
      <c r="AE36" s="174">
        <f t="shared" si="1"/>
        <v>16</v>
      </c>
      <c r="AF36" s="225">
        <f t="shared" si="2"/>
        <v>-1.5</v>
      </c>
    </row>
    <row r="37">
      <c r="A37" s="39">
        <v>34.0</v>
      </c>
      <c r="B37" s="117" t="s">
        <v>90</v>
      </c>
      <c r="C37" s="113"/>
      <c r="D37" s="114" t="s">
        <v>243</v>
      </c>
      <c r="E37" s="114" t="s">
        <v>244</v>
      </c>
      <c r="F37" s="218" t="s">
        <v>92</v>
      </c>
      <c r="G37" s="2" t="s">
        <v>667</v>
      </c>
      <c r="H37" s="227"/>
      <c r="I37" s="221">
        <v>2.0</v>
      </c>
      <c r="J37" s="221">
        <v>1.0</v>
      </c>
      <c r="K37" s="2" t="s">
        <v>92</v>
      </c>
      <c r="L37" s="2" t="s">
        <v>667</v>
      </c>
      <c r="M37" s="222"/>
      <c r="N37" s="221">
        <v>2.0</v>
      </c>
      <c r="O37" s="221">
        <v>1.0</v>
      </c>
      <c r="P37" s="2" t="s">
        <v>92</v>
      </c>
      <c r="Q37" s="2" t="s">
        <v>667</v>
      </c>
      <c r="R37" s="222"/>
      <c r="S37" s="221">
        <v>2.0</v>
      </c>
      <c r="T37" s="221">
        <v>1.0</v>
      </c>
      <c r="U37" s="2" t="s">
        <v>92</v>
      </c>
      <c r="V37" s="2" t="s">
        <v>667</v>
      </c>
      <c r="W37" s="222"/>
      <c r="X37" s="221">
        <v>2.0</v>
      </c>
      <c r="Y37" s="221">
        <v>1.0</v>
      </c>
      <c r="Z37" s="223">
        <v>2.0</v>
      </c>
      <c r="AA37" s="223">
        <v>1.0</v>
      </c>
      <c r="AB37" s="223">
        <v>2.0</v>
      </c>
      <c r="AC37" s="223">
        <v>0.0</v>
      </c>
      <c r="AD37" s="224">
        <v>0.0</v>
      </c>
      <c r="AE37" s="174">
        <f t="shared" si="1"/>
        <v>17</v>
      </c>
      <c r="AF37" s="225">
        <f t="shared" si="2"/>
        <v>-2.5</v>
      </c>
    </row>
    <row r="38">
      <c r="A38" s="216">
        <v>35.0</v>
      </c>
      <c r="B38" s="62" t="s">
        <v>90</v>
      </c>
      <c r="C38" s="55" t="s">
        <v>99</v>
      </c>
      <c r="D38" s="43" t="s">
        <v>435</v>
      </c>
      <c r="E38" s="43" t="s">
        <v>255</v>
      </c>
      <c r="F38" s="218" t="s">
        <v>92</v>
      </c>
      <c r="G38" s="2" t="s">
        <v>667</v>
      </c>
      <c r="H38" s="227"/>
      <c r="I38" s="221">
        <v>2.0</v>
      </c>
      <c r="J38" s="221">
        <v>2.0</v>
      </c>
      <c r="K38" s="2" t="s">
        <v>92</v>
      </c>
      <c r="L38" s="2" t="s">
        <v>667</v>
      </c>
      <c r="M38" s="222"/>
      <c r="N38" s="221">
        <v>2.0</v>
      </c>
      <c r="O38" s="221">
        <v>2.0</v>
      </c>
      <c r="P38" s="2" t="s">
        <v>92</v>
      </c>
      <c r="Q38" s="2" t="s">
        <v>667</v>
      </c>
      <c r="R38" s="222"/>
      <c r="S38" s="221">
        <v>2.0</v>
      </c>
      <c r="T38" s="221">
        <v>2.0</v>
      </c>
      <c r="U38" s="2" t="s">
        <v>92</v>
      </c>
      <c r="V38" s="2" t="s">
        <v>667</v>
      </c>
      <c r="W38" s="222"/>
      <c r="X38" s="221">
        <v>2.0</v>
      </c>
      <c r="Y38" s="221">
        <v>2.0</v>
      </c>
      <c r="Z38" s="223">
        <v>2.0</v>
      </c>
      <c r="AA38" s="223">
        <v>0.0</v>
      </c>
      <c r="AB38" s="223">
        <v>0.0</v>
      </c>
      <c r="AC38" s="223">
        <v>0.0</v>
      </c>
      <c r="AD38" s="224">
        <v>0.0</v>
      </c>
      <c r="AE38" s="174">
        <f t="shared" si="1"/>
        <v>18</v>
      </c>
      <c r="AF38" s="225">
        <f t="shared" si="2"/>
        <v>-3.5</v>
      </c>
    </row>
    <row r="39">
      <c r="A39" s="39">
        <v>36.0</v>
      </c>
      <c r="B39" s="62" t="s">
        <v>90</v>
      </c>
      <c r="C39" s="59"/>
      <c r="D39" s="46" t="s">
        <v>261</v>
      </c>
      <c r="E39" s="46" t="s">
        <v>444</v>
      </c>
      <c r="F39" s="218" t="s">
        <v>92</v>
      </c>
      <c r="G39" s="2" t="s">
        <v>667</v>
      </c>
      <c r="H39" s="227"/>
      <c r="I39" s="221">
        <v>0.0</v>
      </c>
      <c r="J39" s="221">
        <v>1.5</v>
      </c>
      <c r="K39" s="2" t="s">
        <v>92</v>
      </c>
      <c r="L39" s="2" t="s">
        <v>667</v>
      </c>
      <c r="M39" s="222"/>
      <c r="N39" s="221">
        <v>2.0</v>
      </c>
      <c r="O39" s="221">
        <v>2.0</v>
      </c>
      <c r="P39" s="2" t="s">
        <v>92</v>
      </c>
      <c r="Q39" s="2" t="s">
        <v>667</v>
      </c>
      <c r="R39" s="222"/>
      <c r="S39" s="221">
        <v>2.0</v>
      </c>
      <c r="T39" s="221">
        <v>2.0</v>
      </c>
      <c r="U39" s="2" t="s">
        <v>92</v>
      </c>
      <c r="V39" s="2" t="s">
        <v>667</v>
      </c>
      <c r="W39" s="222"/>
      <c r="X39" s="221">
        <v>2.0</v>
      </c>
      <c r="Y39" s="221">
        <v>2.0</v>
      </c>
      <c r="Z39" s="223">
        <v>0.0</v>
      </c>
      <c r="AA39" s="223">
        <v>0.0</v>
      </c>
      <c r="AB39" s="223">
        <v>0.0</v>
      </c>
      <c r="AC39" s="223">
        <v>0.0</v>
      </c>
      <c r="AD39" s="224">
        <v>0.0</v>
      </c>
      <c r="AE39" s="174">
        <f t="shared" si="1"/>
        <v>13.5</v>
      </c>
      <c r="AF39" s="225">
        <f t="shared" si="2"/>
        <v>1</v>
      </c>
    </row>
    <row r="40">
      <c r="A40" s="216">
        <v>37.0</v>
      </c>
      <c r="B40" s="62" t="s">
        <v>90</v>
      </c>
      <c r="C40" s="59"/>
      <c r="D40" s="46" t="s">
        <v>270</v>
      </c>
      <c r="E40" s="46" t="s">
        <v>271</v>
      </c>
      <c r="F40" s="218" t="s">
        <v>92</v>
      </c>
      <c r="G40" s="2" t="s">
        <v>667</v>
      </c>
      <c r="H40" s="227"/>
      <c r="I40" s="221">
        <v>2.0</v>
      </c>
      <c r="J40" s="221">
        <v>2.0</v>
      </c>
      <c r="K40" s="2" t="s">
        <v>92</v>
      </c>
      <c r="L40" s="2" t="s">
        <v>667</v>
      </c>
      <c r="M40" s="222"/>
      <c r="N40" s="221">
        <v>2.0</v>
      </c>
      <c r="O40" s="221">
        <v>2.0</v>
      </c>
      <c r="P40" s="2" t="s">
        <v>92</v>
      </c>
      <c r="Q40" s="2" t="s">
        <v>667</v>
      </c>
      <c r="R40" s="222"/>
      <c r="S40" s="221">
        <v>2.0</v>
      </c>
      <c r="T40" s="221">
        <v>2.0</v>
      </c>
      <c r="U40" s="2" t="s">
        <v>92</v>
      </c>
      <c r="V40" s="2" t="s">
        <v>667</v>
      </c>
      <c r="W40" s="222"/>
      <c r="X40" s="221">
        <v>2.0</v>
      </c>
      <c r="Y40" s="221">
        <v>2.0</v>
      </c>
      <c r="Z40" s="223">
        <v>0.0</v>
      </c>
      <c r="AA40" s="223">
        <v>0.0</v>
      </c>
      <c r="AB40" s="223">
        <v>0.0</v>
      </c>
      <c r="AC40" s="223">
        <v>0.0</v>
      </c>
      <c r="AD40" s="224">
        <v>0.0</v>
      </c>
      <c r="AE40" s="174">
        <f t="shared" si="1"/>
        <v>16</v>
      </c>
      <c r="AF40" s="225">
        <f t="shared" si="2"/>
        <v>-1.5</v>
      </c>
    </row>
    <row r="41">
      <c r="A41" s="39">
        <v>38.0</v>
      </c>
      <c r="B41" s="105" t="s">
        <v>90</v>
      </c>
      <c r="C41" s="68"/>
      <c r="D41" s="70" t="s">
        <v>275</v>
      </c>
      <c r="E41" s="74" t="s">
        <v>277</v>
      </c>
      <c r="F41" s="218" t="s">
        <v>92</v>
      </c>
      <c r="G41" s="2" t="s">
        <v>667</v>
      </c>
      <c r="H41" s="227"/>
      <c r="I41" s="221">
        <v>2.0</v>
      </c>
      <c r="J41" s="221">
        <v>2.0</v>
      </c>
      <c r="K41" s="167" t="s">
        <v>92</v>
      </c>
      <c r="L41" s="167" t="s">
        <v>667</v>
      </c>
      <c r="M41" s="220" t="s">
        <v>680</v>
      </c>
      <c r="N41" s="221">
        <v>2.0</v>
      </c>
      <c r="O41" s="221">
        <v>2.0</v>
      </c>
      <c r="P41" s="2" t="s">
        <v>92</v>
      </c>
      <c r="Q41" s="2" t="s">
        <v>667</v>
      </c>
      <c r="R41" s="222"/>
      <c r="S41" s="221">
        <v>2.0</v>
      </c>
      <c r="T41" s="221">
        <v>2.0</v>
      </c>
      <c r="U41" s="2" t="s">
        <v>92</v>
      </c>
      <c r="V41" s="2" t="s">
        <v>667</v>
      </c>
      <c r="W41" s="222"/>
      <c r="X41" s="221">
        <v>2.0</v>
      </c>
      <c r="Y41" s="221">
        <v>2.0</v>
      </c>
      <c r="Z41" s="223">
        <v>2.0</v>
      </c>
      <c r="AA41" s="223">
        <v>0.0</v>
      </c>
      <c r="AB41" s="223">
        <v>0.0</v>
      </c>
      <c r="AC41" s="223">
        <v>0.0</v>
      </c>
      <c r="AD41" s="224">
        <v>0.0</v>
      </c>
      <c r="AE41" s="174">
        <f t="shared" si="1"/>
        <v>18</v>
      </c>
      <c r="AF41" s="225">
        <f t="shared" si="2"/>
        <v>-3.5</v>
      </c>
    </row>
    <row r="42">
      <c r="A42" s="216">
        <v>39.0</v>
      </c>
      <c r="B42" s="62" t="s">
        <v>90</v>
      </c>
      <c r="C42" s="59"/>
      <c r="D42" s="43" t="s">
        <v>281</v>
      </c>
      <c r="E42" s="43" t="s">
        <v>282</v>
      </c>
      <c r="F42" s="218" t="s">
        <v>92</v>
      </c>
      <c r="G42" s="2" t="s">
        <v>667</v>
      </c>
      <c r="H42" s="227"/>
      <c r="I42" s="221">
        <v>2.0</v>
      </c>
      <c r="J42" s="221">
        <v>2.0</v>
      </c>
      <c r="K42" s="2" t="s">
        <v>92</v>
      </c>
      <c r="L42" s="2" t="s">
        <v>667</v>
      </c>
      <c r="M42" s="222"/>
      <c r="N42" s="221">
        <v>2.0</v>
      </c>
      <c r="O42" s="221">
        <v>2.0</v>
      </c>
      <c r="P42" s="2" t="s">
        <v>92</v>
      </c>
      <c r="Q42" s="2" t="s">
        <v>667</v>
      </c>
      <c r="R42" s="222"/>
      <c r="S42" s="221">
        <v>2.0</v>
      </c>
      <c r="T42" s="221">
        <v>2.0</v>
      </c>
      <c r="U42" s="2" t="s">
        <v>92</v>
      </c>
      <c r="V42" s="2" t="s">
        <v>667</v>
      </c>
      <c r="W42" s="222"/>
      <c r="X42" s="221">
        <v>2.0</v>
      </c>
      <c r="Y42" s="221">
        <v>0.0</v>
      </c>
      <c r="Z42" s="223">
        <v>0.0</v>
      </c>
      <c r="AA42" s="223">
        <v>0.0</v>
      </c>
      <c r="AB42" s="223">
        <v>0.0</v>
      </c>
      <c r="AC42" s="223">
        <v>0.0</v>
      </c>
      <c r="AD42" s="224">
        <v>0.0</v>
      </c>
      <c r="AE42" s="174">
        <f t="shared" si="1"/>
        <v>14</v>
      </c>
      <c r="AF42" s="225">
        <f t="shared" si="2"/>
        <v>0.5</v>
      </c>
    </row>
    <row r="43">
      <c r="A43" s="39">
        <v>40.0</v>
      </c>
      <c r="B43" s="117" t="s">
        <v>90</v>
      </c>
      <c r="C43" s="113"/>
      <c r="D43" s="115" t="s">
        <v>289</v>
      </c>
      <c r="E43" s="115" t="s">
        <v>246</v>
      </c>
      <c r="F43" s="218" t="s">
        <v>92</v>
      </c>
      <c r="G43" s="2" t="s">
        <v>667</v>
      </c>
      <c r="H43" s="227"/>
      <c r="I43" s="221">
        <v>2.0</v>
      </c>
      <c r="J43" s="221">
        <v>1.0</v>
      </c>
      <c r="K43" s="2" t="s">
        <v>92</v>
      </c>
      <c r="L43" s="2" t="s">
        <v>667</v>
      </c>
      <c r="M43" s="222"/>
      <c r="N43" s="221">
        <v>2.0</v>
      </c>
      <c r="O43" s="221">
        <v>1.0</v>
      </c>
      <c r="P43" s="2" t="s">
        <v>92</v>
      </c>
      <c r="Q43" s="2" t="s">
        <v>667</v>
      </c>
      <c r="R43" s="222"/>
      <c r="S43" s="221">
        <v>2.0</v>
      </c>
      <c r="T43" s="221">
        <v>1.0</v>
      </c>
      <c r="U43" s="2" t="s">
        <v>92</v>
      </c>
      <c r="V43" s="2" t="s">
        <v>667</v>
      </c>
      <c r="W43" s="222"/>
      <c r="X43" s="221">
        <v>2.0</v>
      </c>
      <c r="Y43" s="221">
        <v>1.0</v>
      </c>
      <c r="Z43" s="223">
        <v>2.0</v>
      </c>
      <c r="AA43" s="223">
        <v>1.0</v>
      </c>
      <c r="AB43" s="223">
        <v>2.0</v>
      </c>
      <c r="AC43" s="223">
        <v>1.0</v>
      </c>
      <c r="AD43" s="224">
        <v>0.0</v>
      </c>
      <c r="AE43" s="174">
        <f t="shared" si="1"/>
        <v>18</v>
      </c>
      <c r="AF43" s="225">
        <f t="shared" si="2"/>
        <v>-3.5</v>
      </c>
    </row>
    <row r="44">
      <c r="A44" s="216">
        <v>41.0</v>
      </c>
      <c r="B44" s="62" t="s">
        <v>90</v>
      </c>
      <c r="C44" s="59"/>
      <c r="D44" s="46" t="s">
        <v>294</v>
      </c>
      <c r="E44" s="46" t="s">
        <v>295</v>
      </c>
      <c r="F44" s="218" t="s">
        <v>92</v>
      </c>
      <c r="G44" s="2" t="s">
        <v>667</v>
      </c>
      <c r="H44" s="227"/>
      <c r="I44" s="221">
        <v>2.0</v>
      </c>
      <c r="J44" s="221">
        <v>2.0</v>
      </c>
      <c r="K44" s="2" t="s">
        <v>92</v>
      </c>
      <c r="L44" s="2" t="s">
        <v>667</v>
      </c>
      <c r="M44" s="222"/>
      <c r="N44" s="221">
        <v>2.0</v>
      </c>
      <c r="O44" s="233">
        <v>2.0</v>
      </c>
      <c r="P44" s="2" t="s">
        <v>92</v>
      </c>
      <c r="Q44" s="2" t="s">
        <v>667</v>
      </c>
      <c r="R44" s="222"/>
      <c r="S44" s="221">
        <v>2.0</v>
      </c>
      <c r="T44" s="221">
        <v>2.0</v>
      </c>
      <c r="U44" s="2" t="s">
        <v>92</v>
      </c>
      <c r="V44" s="2" t="s">
        <v>667</v>
      </c>
      <c r="W44" s="222"/>
      <c r="X44" s="221">
        <v>2.0</v>
      </c>
      <c r="Y44" s="221">
        <v>2.0</v>
      </c>
      <c r="Z44" s="223">
        <v>0.0</v>
      </c>
      <c r="AA44" s="223">
        <v>0.0</v>
      </c>
      <c r="AB44" s="223">
        <v>0.0</v>
      </c>
      <c r="AC44" s="223">
        <v>0.0</v>
      </c>
      <c r="AD44" s="224">
        <v>0.0</v>
      </c>
      <c r="AE44" s="174">
        <f t="shared" si="1"/>
        <v>16</v>
      </c>
      <c r="AF44" s="225">
        <f t="shared" si="2"/>
        <v>-1.5</v>
      </c>
    </row>
    <row r="45">
      <c r="A45" s="39">
        <v>42.0</v>
      </c>
      <c r="B45" s="62" t="s">
        <v>90</v>
      </c>
      <c r="C45" s="59"/>
      <c r="D45" s="36" t="s">
        <v>304</v>
      </c>
      <c r="E45" s="36" t="s">
        <v>305</v>
      </c>
      <c r="F45" s="218" t="s">
        <v>92</v>
      </c>
      <c r="G45" s="2" t="s">
        <v>667</v>
      </c>
      <c r="H45" s="227"/>
      <c r="I45" s="221">
        <v>2.0</v>
      </c>
      <c r="J45" s="221">
        <v>1.5</v>
      </c>
      <c r="K45" s="2" t="s">
        <v>92</v>
      </c>
      <c r="L45" s="2" t="s">
        <v>667</v>
      </c>
      <c r="M45" s="222"/>
      <c r="N45" s="221">
        <v>2.0</v>
      </c>
      <c r="O45" s="221">
        <v>2.0</v>
      </c>
      <c r="P45" s="2" t="s">
        <v>92</v>
      </c>
      <c r="Q45" s="2" t="s">
        <v>667</v>
      </c>
      <c r="R45" s="222"/>
      <c r="S45" s="221">
        <v>2.0</v>
      </c>
      <c r="T45" s="221">
        <v>2.0</v>
      </c>
      <c r="U45" s="2" t="s">
        <v>92</v>
      </c>
      <c r="V45" s="2" t="s">
        <v>667</v>
      </c>
      <c r="W45" s="222"/>
      <c r="X45" s="221">
        <v>2.0</v>
      </c>
      <c r="Y45" s="221">
        <v>2.0</v>
      </c>
      <c r="Z45" s="223">
        <v>0.0</v>
      </c>
      <c r="AA45" s="223">
        <v>0.0</v>
      </c>
      <c r="AB45" s="223">
        <v>0.0</v>
      </c>
      <c r="AC45" s="223">
        <v>0.0</v>
      </c>
      <c r="AD45" s="224">
        <v>0.0</v>
      </c>
      <c r="AE45" s="174">
        <f t="shared" si="1"/>
        <v>15.5</v>
      </c>
      <c r="AF45" s="225">
        <f t="shared" si="2"/>
        <v>-1</v>
      </c>
    </row>
    <row r="46">
      <c r="A46" s="216">
        <v>43.0</v>
      </c>
      <c r="B46" s="62" t="s">
        <v>90</v>
      </c>
      <c r="C46" s="55" t="s">
        <v>99</v>
      </c>
      <c r="D46" s="46" t="s">
        <v>313</v>
      </c>
      <c r="E46" s="46" t="s">
        <v>315</v>
      </c>
      <c r="F46" s="218" t="s">
        <v>92</v>
      </c>
      <c r="G46" s="2" t="s">
        <v>667</v>
      </c>
      <c r="H46" s="227"/>
      <c r="I46" s="221">
        <v>2.0</v>
      </c>
      <c r="J46" s="221">
        <v>2.0</v>
      </c>
      <c r="K46" s="2" t="s">
        <v>92</v>
      </c>
      <c r="L46" s="2" t="s">
        <v>667</v>
      </c>
      <c r="M46" s="222"/>
      <c r="N46" s="221">
        <v>2.0</v>
      </c>
      <c r="O46" s="221">
        <v>2.0</v>
      </c>
      <c r="P46" s="2" t="s">
        <v>92</v>
      </c>
      <c r="Q46" s="2" t="s">
        <v>667</v>
      </c>
      <c r="R46" s="222"/>
      <c r="S46" s="221">
        <v>2.0</v>
      </c>
      <c r="T46" s="221">
        <v>2.0</v>
      </c>
      <c r="U46" s="2" t="s">
        <v>92</v>
      </c>
      <c r="V46" s="2" t="s">
        <v>667</v>
      </c>
      <c r="W46" s="222"/>
      <c r="X46" s="221">
        <v>0.0</v>
      </c>
      <c r="Y46" s="221">
        <v>2.0</v>
      </c>
      <c r="Z46" s="223">
        <v>2.0</v>
      </c>
      <c r="AA46" s="223">
        <v>0.0</v>
      </c>
      <c r="AB46" s="223">
        <v>0.0</v>
      </c>
      <c r="AC46" s="223">
        <v>0.0</v>
      </c>
      <c r="AD46" s="224">
        <v>0.0</v>
      </c>
      <c r="AE46" s="174">
        <f t="shared" si="1"/>
        <v>16</v>
      </c>
      <c r="AF46" s="225">
        <f t="shared" si="2"/>
        <v>-1.5</v>
      </c>
    </row>
    <row r="47">
      <c r="A47" s="39">
        <v>44.0</v>
      </c>
      <c r="B47" s="62" t="s">
        <v>90</v>
      </c>
      <c r="C47" s="59"/>
      <c r="D47" s="46" t="s">
        <v>328</v>
      </c>
      <c r="E47" s="46" t="s">
        <v>321</v>
      </c>
      <c r="F47" s="218" t="s">
        <v>92</v>
      </c>
      <c r="G47" s="2" t="s">
        <v>667</v>
      </c>
      <c r="H47" s="227"/>
      <c r="I47" s="221">
        <v>2.0</v>
      </c>
      <c r="J47" s="221">
        <v>2.0</v>
      </c>
      <c r="K47" s="2" t="s">
        <v>92</v>
      </c>
      <c r="L47" s="2" t="s">
        <v>667</v>
      </c>
      <c r="M47" s="222"/>
      <c r="N47" s="221">
        <v>2.0</v>
      </c>
      <c r="O47" s="221">
        <v>2.0</v>
      </c>
      <c r="P47" s="167" t="s">
        <v>672</v>
      </c>
      <c r="Q47" s="167" t="s">
        <v>673</v>
      </c>
      <c r="R47" s="222"/>
      <c r="S47" s="221">
        <v>0.0</v>
      </c>
      <c r="T47" s="221">
        <v>0.0</v>
      </c>
      <c r="U47" s="2" t="s">
        <v>92</v>
      </c>
      <c r="V47" s="2" t="s">
        <v>667</v>
      </c>
      <c r="W47" s="222"/>
      <c r="X47" s="221">
        <v>0.0</v>
      </c>
      <c r="Y47" s="221">
        <v>2.0</v>
      </c>
      <c r="Z47" s="223">
        <v>1.5</v>
      </c>
      <c r="AA47" s="223">
        <v>0.0</v>
      </c>
      <c r="AB47" s="223">
        <v>0.0</v>
      </c>
      <c r="AC47" s="223">
        <v>0.0</v>
      </c>
      <c r="AD47" s="224">
        <v>1.0</v>
      </c>
      <c r="AE47" s="174">
        <f t="shared" si="1"/>
        <v>11.5</v>
      </c>
      <c r="AF47" s="225">
        <f t="shared" si="2"/>
        <v>3</v>
      </c>
    </row>
    <row r="48">
      <c r="A48" s="216">
        <v>45.0</v>
      </c>
      <c r="B48" s="62" t="s">
        <v>90</v>
      </c>
      <c r="C48" s="59"/>
      <c r="D48" s="46" t="s">
        <v>337</v>
      </c>
      <c r="E48" s="46" t="s">
        <v>488</v>
      </c>
      <c r="F48" s="218" t="s">
        <v>92</v>
      </c>
      <c r="G48" s="2" t="s">
        <v>667</v>
      </c>
      <c r="H48" s="227"/>
      <c r="I48" s="221">
        <v>2.0</v>
      </c>
      <c r="J48" s="221">
        <v>2.0</v>
      </c>
      <c r="K48" s="2" t="s">
        <v>92</v>
      </c>
      <c r="L48" s="2" t="s">
        <v>667</v>
      </c>
      <c r="M48" s="222"/>
      <c r="N48" s="221">
        <v>2.0</v>
      </c>
      <c r="O48" s="221">
        <v>2.0</v>
      </c>
      <c r="P48" s="2" t="s">
        <v>92</v>
      </c>
      <c r="Q48" s="2" t="s">
        <v>667</v>
      </c>
      <c r="R48" s="222"/>
      <c r="S48" s="221">
        <v>2.0</v>
      </c>
      <c r="T48" s="221">
        <v>2.0</v>
      </c>
      <c r="U48" s="2" t="s">
        <v>92</v>
      </c>
      <c r="V48" s="2" t="s">
        <v>667</v>
      </c>
      <c r="W48" s="222"/>
      <c r="X48" s="221">
        <v>2.0</v>
      </c>
      <c r="Y48" s="221">
        <v>0.0</v>
      </c>
      <c r="Z48" s="223">
        <v>0.0</v>
      </c>
      <c r="AA48" s="223">
        <v>0.0</v>
      </c>
      <c r="AB48" s="223">
        <v>0.0</v>
      </c>
      <c r="AC48" s="223">
        <v>0.0</v>
      </c>
      <c r="AD48" s="224">
        <v>0.0</v>
      </c>
      <c r="AE48" s="174">
        <f t="shared" si="1"/>
        <v>14</v>
      </c>
      <c r="AF48" s="225">
        <f t="shared" si="2"/>
        <v>0.5</v>
      </c>
    </row>
    <row r="49">
      <c r="A49" s="39">
        <v>46.0</v>
      </c>
      <c r="B49" s="62" t="s">
        <v>90</v>
      </c>
      <c r="C49" s="55" t="s">
        <v>99</v>
      </c>
      <c r="D49" s="46" t="s">
        <v>343</v>
      </c>
      <c r="E49" s="46" t="s">
        <v>166</v>
      </c>
      <c r="F49" s="218" t="s">
        <v>92</v>
      </c>
      <c r="G49" s="2" t="s">
        <v>667</v>
      </c>
      <c r="H49" s="227"/>
      <c r="I49" s="221">
        <v>2.0</v>
      </c>
      <c r="J49" s="221">
        <v>2.0</v>
      </c>
      <c r="K49" s="2" t="s">
        <v>92</v>
      </c>
      <c r="L49" s="2" t="s">
        <v>667</v>
      </c>
      <c r="M49" s="222"/>
      <c r="N49" s="221">
        <v>2.0</v>
      </c>
      <c r="O49" s="221">
        <v>2.0</v>
      </c>
      <c r="P49" s="2" t="s">
        <v>92</v>
      </c>
      <c r="Q49" s="2" t="s">
        <v>667</v>
      </c>
      <c r="R49" s="222"/>
      <c r="S49" s="221">
        <v>2.0</v>
      </c>
      <c r="T49" s="221">
        <v>2.0</v>
      </c>
      <c r="U49" s="2" t="s">
        <v>92</v>
      </c>
      <c r="V49" s="2" t="s">
        <v>667</v>
      </c>
      <c r="W49" s="222"/>
      <c r="X49" s="221">
        <v>2.0</v>
      </c>
      <c r="Y49" s="221">
        <v>2.0</v>
      </c>
      <c r="Z49" s="223">
        <v>0.0</v>
      </c>
      <c r="AA49" s="223">
        <v>0.0</v>
      </c>
      <c r="AB49" s="223">
        <v>0.0</v>
      </c>
      <c r="AC49" s="223">
        <v>0.0</v>
      </c>
      <c r="AD49" s="224">
        <v>0.0</v>
      </c>
      <c r="AE49" s="174">
        <f t="shared" si="1"/>
        <v>16</v>
      </c>
      <c r="AF49" s="225">
        <f t="shared" si="2"/>
        <v>-1.5</v>
      </c>
    </row>
    <row r="50">
      <c r="A50" s="216">
        <v>47.0</v>
      </c>
      <c r="B50" s="62" t="s">
        <v>90</v>
      </c>
      <c r="C50" s="59"/>
      <c r="D50" s="46" t="s">
        <v>352</v>
      </c>
      <c r="E50" s="46" t="s">
        <v>353</v>
      </c>
      <c r="F50" s="218" t="s">
        <v>92</v>
      </c>
      <c r="G50" s="2" t="s">
        <v>667</v>
      </c>
      <c r="H50" s="227"/>
      <c r="I50" s="221">
        <v>2.0</v>
      </c>
      <c r="J50" s="221">
        <v>2.0</v>
      </c>
      <c r="K50" s="2" t="s">
        <v>92</v>
      </c>
      <c r="L50" s="2" t="s">
        <v>667</v>
      </c>
      <c r="M50" s="222"/>
      <c r="N50" s="221">
        <v>2.0</v>
      </c>
      <c r="O50" s="221">
        <v>2.0</v>
      </c>
      <c r="P50" s="2" t="s">
        <v>92</v>
      </c>
      <c r="Q50" s="2" t="s">
        <v>667</v>
      </c>
      <c r="R50" s="222"/>
      <c r="S50" s="221">
        <v>2.0</v>
      </c>
      <c r="T50" s="221">
        <v>2.0</v>
      </c>
      <c r="U50" s="2" t="s">
        <v>92</v>
      </c>
      <c r="V50" s="2" t="s">
        <v>667</v>
      </c>
      <c r="W50" s="222"/>
      <c r="X50" s="221">
        <v>1.5</v>
      </c>
      <c r="Y50" s="221">
        <v>2.0</v>
      </c>
      <c r="Z50" s="223">
        <v>0.0</v>
      </c>
      <c r="AA50" s="223">
        <v>0.0</v>
      </c>
      <c r="AB50" s="223">
        <v>0.0</v>
      </c>
      <c r="AC50" s="223">
        <v>0.0</v>
      </c>
      <c r="AD50" s="224">
        <v>0.0</v>
      </c>
      <c r="AE50" s="174">
        <f t="shared" si="1"/>
        <v>15.5</v>
      </c>
      <c r="AF50" s="225">
        <f t="shared" si="2"/>
        <v>-1</v>
      </c>
    </row>
    <row r="51">
      <c r="A51" s="39">
        <v>48.0</v>
      </c>
      <c r="B51" s="62" t="s">
        <v>90</v>
      </c>
      <c r="C51" s="59"/>
      <c r="D51" s="36" t="s">
        <v>363</v>
      </c>
      <c r="E51" s="36" t="s">
        <v>364</v>
      </c>
      <c r="F51" s="218" t="s">
        <v>92</v>
      </c>
      <c r="G51" s="2" t="s">
        <v>667</v>
      </c>
      <c r="H51" s="227"/>
      <c r="I51" s="221">
        <v>0.0</v>
      </c>
      <c r="J51" s="221">
        <v>2.0</v>
      </c>
      <c r="K51" s="2" t="s">
        <v>92</v>
      </c>
      <c r="L51" s="2" t="s">
        <v>667</v>
      </c>
      <c r="M51" s="222"/>
      <c r="N51" s="221">
        <v>1.5</v>
      </c>
      <c r="O51" s="221">
        <v>2.0</v>
      </c>
      <c r="P51" s="2" t="s">
        <v>92</v>
      </c>
      <c r="Q51" s="2" t="s">
        <v>667</v>
      </c>
      <c r="R51" s="222"/>
      <c r="S51" s="221">
        <v>2.0</v>
      </c>
      <c r="T51" s="221">
        <v>2.0</v>
      </c>
      <c r="U51" s="2" t="s">
        <v>92</v>
      </c>
      <c r="V51" s="2" t="s">
        <v>667</v>
      </c>
      <c r="W51" s="222"/>
      <c r="X51" s="221">
        <v>2.0</v>
      </c>
      <c r="Y51" s="221">
        <v>2.0</v>
      </c>
      <c r="Z51" s="223">
        <v>2.0</v>
      </c>
      <c r="AA51" s="223">
        <v>0.0</v>
      </c>
      <c r="AB51" s="223">
        <v>0.0</v>
      </c>
      <c r="AC51" s="223">
        <v>0.0</v>
      </c>
      <c r="AD51" s="224">
        <v>0.0</v>
      </c>
      <c r="AE51" s="174">
        <f t="shared" si="1"/>
        <v>15.5</v>
      </c>
      <c r="AF51" s="225">
        <f t="shared" si="2"/>
        <v>-1</v>
      </c>
    </row>
    <row r="52">
      <c r="A52" s="216">
        <v>49.0</v>
      </c>
      <c r="B52" s="62" t="s">
        <v>90</v>
      </c>
      <c r="C52" s="59"/>
      <c r="D52" s="46" t="s">
        <v>372</v>
      </c>
      <c r="E52" s="46" t="s">
        <v>373</v>
      </c>
      <c r="F52" s="218" t="s">
        <v>92</v>
      </c>
      <c r="G52" s="2" t="s">
        <v>667</v>
      </c>
      <c r="H52" s="227"/>
      <c r="I52" s="221">
        <v>2.0</v>
      </c>
      <c r="J52" s="221">
        <v>2.0</v>
      </c>
      <c r="K52" s="2" t="s">
        <v>92</v>
      </c>
      <c r="L52" s="2" t="s">
        <v>667</v>
      </c>
      <c r="M52" s="222"/>
      <c r="N52" s="221">
        <v>2.0</v>
      </c>
      <c r="O52" s="221">
        <v>2.0</v>
      </c>
      <c r="P52" s="2" t="s">
        <v>92</v>
      </c>
      <c r="Q52" s="2" t="s">
        <v>667</v>
      </c>
      <c r="R52" s="222"/>
      <c r="S52" s="221">
        <v>2.0</v>
      </c>
      <c r="T52" s="221">
        <v>2.0</v>
      </c>
      <c r="U52" s="2" t="s">
        <v>92</v>
      </c>
      <c r="V52" s="2" t="s">
        <v>667</v>
      </c>
      <c r="W52" s="222"/>
      <c r="X52" s="221">
        <v>2.0</v>
      </c>
      <c r="Y52" s="221">
        <v>2.0</v>
      </c>
      <c r="Z52" s="223">
        <v>0.0</v>
      </c>
      <c r="AA52" s="223">
        <v>0.0</v>
      </c>
      <c r="AB52" s="223">
        <v>0.0</v>
      </c>
      <c r="AC52" s="223">
        <v>0.0</v>
      </c>
      <c r="AD52" s="224">
        <v>0.0</v>
      </c>
      <c r="AE52" s="174">
        <f t="shared" si="1"/>
        <v>16</v>
      </c>
      <c r="AF52" s="225">
        <f t="shared" si="2"/>
        <v>-1.5</v>
      </c>
    </row>
    <row r="53">
      <c r="A53" s="39">
        <v>50.0</v>
      </c>
      <c r="B53" s="62" t="s">
        <v>90</v>
      </c>
      <c r="C53" s="59"/>
      <c r="D53" s="46" t="s">
        <v>378</v>
      </c>
      <c r="E53" s="46" t="s">
        <v>380</v>
      </c>
      <c r="F53" s="218" t="s">
        <v>92</v>
      </c>
      <c r="G53" s="2" t="s">
        <v>667</v>
      </c>
      <c r="H53" s="227"/>
      <c r="I53" s="221">
        <v>2.0</v>
      </c>
      <c r="J53" s="221">
        <v>2.0</v>
      </c>
      <c r="K53" s="2" t="s">
        <v>92</v>
      </c>
      <c r="L53" s="2" t="s">
        <v>667</v>
      </c>
      <c r="M53" s="222"/>
      <c r="N53" s="221">
        <v>2.0</v>
      </c>
      <c r="O53" s="221">
        <v>2.0</v>
      </c>
      <c r="P53" s="2" t="s">
        <v>92</v>
      </c>
      <c r="Q53" s="2" t="s">
        <v>667</v>
      </c>
      <c r="R53" s="222"/>
      <c r="S53" s="221">
        <v>2.0</v>
      </c>
      <c r="T53" s="221">
        <v>2.0</v>
      </c>
      <c r="U53" s="2" t="s">
        <v>92</v>
      </c>
      <c r="V53" s="2" t="s">
        <v>667</v>
      </c>
      <c r="W53" s="222"/>
      <c r="X53" s="221">
        <v>2.0</v>
      </c>
      <c r="Y53" s="221">
        <v>2.0</v>
      </c>
      <c r="Z53" s="223">
        <v>0.0</v>
      </c>
      <c r="AA53" s="223">
        <v>0.0</v>
      </c>
      <c r="AB53" s="223">
        <v>0.0</v>
      </c>
      <c r="AC53" s="223">
        <v>0.0</v>
      </c>
      <c r="AD53" s="224">
        <v>0.0</v>
      </c>
      <c r="AE53" s="174">
        <f t="shared" si="1"/>
        <v>16</v>
      </c>
      <c r="AF53" s="225">
        <f t="shared" si="2"/>
        <v>-1.5</v>
      </c>
    </row>
    <row r="54">
      <c r="A54" s="216">
        <v>51.0</v>
      </c>
      <c r="B54" s="62" t="s">
        <v>90</v>
      </c>
      <c r="C54" s="59"/>
      <c r="D54" s="46" t="s">
        <v>382</v>
      </c>
      <c r="E54" s="46" t="s">
        <v>527</v>
      </c>
      <c r="F54" s="218" t="s">
        <v>92</v>
      </c>
      <c r="G54" s="2" t="s">
        <v>667</v>
      </c>
      <c r="H54" s="227"/>
      <c r="I54" s="221">
        <v>2.0</v>
      </c>
      <c r="J54" s="221">
        <v>2.0</v>
      </c>
      <c r="K54" s="2" t="s">
        <v>92</v>
      </c>
      <c r="L54" s="2" t="s">
        <v>667</v>
      </c>
      <c r="M54" s="222"/>
      <c r="N54" s="221">
        <v>2.0</v>
      </c>
      <c r="O54" s="221">
        <v>2.0</v>
      </c>
      <c r="P54" s="2" t="s">
        <v>92</v>
      </c>
      <c r="Q54" s="2" t="s">
        <v>667</v>
      </c>
      <c r="R54" s="222"/>
      <c r="S54" s="221">
        <v>2.0</v>
      </c>
      <c r="T54" s="221">
        <v>2.0</v>
      </c>
      <c r="U54" s="2" t="s">
        <v>92</v>
      </c>
      <c r="V54" s="2" t="s">
        <v>667</v>
      </c>
      <c r="W54" s="222"/>
      <c r="X54" s="221">
        <v>2.0</v>
      </c>
      <c r="Y54" s="221">
        <v>2.0</v>
      </c>
      <c r="Z54" s="223">
        <v>0.0</v>
      </c>
      <c r="AA54" s="223">
        <v>0.0</v>
      </c>
      <c r="AB54" s="223">
        <v>0.0</v>
      </c>
      <c r="AC54" s="223">
        <v>0.0</v>
      </c>
      <c r="AD54" s="224">
        <v>0.0</v>
      </c>
      <c r="AE54" s="174">
        <f t="shared" si="1"/>
        <v>16</v>
      </c>
      <c r="AF54" s="225">
        <f t="shared" si="2"/>
        <v>-1.5</v>
      </c>
    </row>
    <row r="55">
      <c r="A55" s="39">
        <v>52.0</v>
      </c>
      <c r="B55" s="62" t="s">
        <v>90</v>
      </c>
      <c r="C55" s="59"/>
      <c r="D55" s="29" t="s">
        <v>386</v>
      </c>
      <c r="E55" s="29" t="s">
        <v>387</v>
      </c>
      <c r="F55" s="218" t="s">
        <v>92</v>
      </c>
      <c r="G55" s="2" t="s">
        <v>667</v>
      </c>
      <c r="H55" s="227"/>
      <c r="I55" s="221">
        <v>1.5</v>
      </c>
      <c r="J55" s="221">
        <v>2.0</v>
      </c>
      <c r="K55" s="2" t="s">
        <v>92</v>
      </c>
      <c r="L55" s="2" t="s">
        <v>667</v>
      </c>
      <c r="M55" s="222"/>
      <c r="N55" s="221">
        <v>2.0</v>
      </c>
      <c r="O55" s="221">
        <v>2.0</v>
      </c>
      <c r="P55" s="2" t="s">
        <v>92</v>
      </c>
      <c r="Q55" s="2" t="s">
        <v>667</v>
      </c>
      <c r="R55" s="222"/>
      <c r="S55" s="221">
        <v>2.0</v>
      </c>
      <c r="T55" s="221">
        <v>2.0</v>
      </c>
      <c r="U55" s="2" t="s">
        <v>92</v>
      </c>
      <c r="V55" s="2" t="s">
        <v>667</v>
      </c>
      <c r="W55" s="222"/>
      <c r="X55" s="221">
        <v>2.0</v>
      </c>
      <c r="Y55" s="221">
        <v>2.0</v>
      </c>
      <c r="Z55" s="223">
        <v>0.0</v>
      </c>
      <c r="AA55" s="223">
        <v>0.0</v>
      </c>
      <c r="AB55" s="223">
        <v>0.0</v>
      </c>
      <c r="AC55" s="223">
        <v>0.0</v>
      </c>
      <c r="AD55" s="224">
        <v>0.0</v>
      </c>
      <c r="AE55" s="174">
        <f t="shared" si="1"/>
        <v>15.5</v>
      </c>
      <c r="AF55" s="225">
        <f t="shared" si="2"/>
        <v>-1</v>
      </c>
    </row>
    <row r="56">
      <c r="A56" s="216">
        <v>53.0</v>
      </c>
      <c r="B56" s="121" t="s">
        <v>90</v>
      </c>
      <c r="C56" s="57"/>
      <c r="D56" s="46" t="s">
        <v>390</v>
      </c>
      <c r="E56" s="46" t="s">
        <v>391</v>
      </c>
      <c r="F56" s="218" t="s">
        <v>92</v>
      </c>
      <c r="G56" s="2" t="s">
        <v>667</v>
      </c>
      <c r="H56" s="227"/>
      <c r="I56" s="221">
        <v>0.0</v>
      </c>
      <c r="J56" s="221">
        <v>2.0</v>
      </c>
      <c r="K56" s="2" t="s">
        <v>92</v>
      </c>
      <c r="L56" s="2" t="s">
        <v>667</v>
      </c>
      <c r="M56" s="222"/>
      <c r="N56" s="221">
        <v>2.0</v>
      </c>
      <c r="O56" s="221">
        <v>2.0</v>
      </c>
      <c r="P56" s="2" t="s">
        <v>92</v>
      </c>
      <c r="Q56" s="2" t="s">
        <v>667</v>
      </c>
      <c r="R56" s="222"/>
      <c r="S56" s="221">
        <v>2.0</v>
      </c>
      <c r="T56" s="221">
        <v>2.0</v>
      </c>
      <c r="U56" s="2" t="s">
        <v>92</v>
      </c>
      <c r="V56" s="2" t="s">
        <v>667</v>
      </c>
      <c r="W56" s="222"/>
      <c r="X56" s="221">
        <v>2.0</v>
      </c>
      <c r="Y56" s="221">
        <v>2.0</v>
      </c>
      <c r="Z56" s="223">
        <v>2.0</v>
      </c>
      <c r="AA56" s="223">
        <v>0.0</v>
      </c>
      <c r="AB56" s="223">
        <v>0.0</v>
      </c>
      <c r="AC56" s="223">
        <v>0.0</v>
      </c>
      <c r="AD56" s="224">
        <v>0.0</v>
      </c>
      <c r="AE56" s="174">
        <f t="shared" si="1"/>
        <v>16</v>
      </c>
      <c r="AF56" s="225">
        <f t="shared" si="2"/>
        <v>-1.5</v>
      </c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16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</sheetData>
  <mergeCells count="7">
    <mergeCell ref="F1:Z1"/>
    <mergeCell ref="I2:J2"/>
    <mergeCell ref="N2:O2"/>
    <mergeCell ref="S2:T2"/>
    <mergeCell ref="X2:Y2"/>
    <mergeCell ref="Z2:AA2"/>
    <mergeCell ref="AB2:AC2"/>
  </mergeCells>
  <dataValidations>
    <dataValidation type="list" allowBlank="1" showErrorMessage="1" sqref="G4:G56 L4:L56 Q4:Q56 V4:V56">
      <formula1>"Online/permission granted,In class,Group Assignment,Absent,Online/Sick,Online/ NO permission ,Public Holiday,In class/Lesson not attended in full,Reported absent"</formula1>
    </dataValidation>
    <dataValidation type="list" allowBlank="1" showErrorMessage="1" sqref="F4:F56 K4:K56 P4:P56 U4:U56">
      <formula1>"Yes,No "</formula1>
    </dataValidation>
    <dataValidation type="list" allowBlank="1" showErrorMessage="1" sqref="AD4:AD56">
      <formula1>"0,1,2,3,4"</formula1>
    </dataValidation>
    <dataValidation type="list" allowBlank="1" showErrorMessage="1" sqref="I4:J56 N4:O56 S4:T56 X4:AC56">
      <formula1>"0,2,1.5,1,0.5"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5.63"/>
    <col customWidth="1" min="2" max="2" width="9.25"/>
    <col customWidth="1" min="3" max="3" width="8.63"/>
    <col customWidth="1" min="5" max="5" width="16.5"/>
    <col customWidth="1" min="7" max="7" width="12.75"/>
    <col customWidth="1" min="8" max="8" width="22.38"/>
    <col customWidth="1" min="13" max="13" width="24.88"/>
    <col customWidth="1" min="18" max="18" width="28.25"/>
    <col customWidth="1" min="24" max="24" width="24.75"/>
    <col customWidth="1" min="25" max="25" width="25.88"/>
  </cols>
  <sheetData>
    <row r="1" ht="21.75" customHeight="1">
      <c r="A1" s="2"/>
      <c r="B1" s="2"/>
      <c r="C1" s="2"/>
      <c r="D1" s="2"/>
      <c r="E1" s="2"/>
      <c r="F1" s="187" t="s">
        <v>640</v>
      </c>
      <c r="AB1" s="2"/>
      <c r="AC1" s="2"/>
      <c r="AD1" s="2"/>
      <c r="AE1" s="2"/>
      <c r="AF1" s="2"/>
      <c r="AG1" s="2"/>
      <c r="AH1" s="2"/>
    </row>
    <row r="2">
      <c r="A2" s="2"/>
      <c r="B2" s="2"/>
      <c r="C2" s="2"/>
      <c r="D2" s="2"/>
      <c r="E2" s="2"/>
      <c r="F2" s="188" t="s">
        <v>641</v>
      </c>
      <c r="G2" s="188" t="s">
        <v>675</v>
      </c>
      <c r="H2" s="189"/>
      <c r="I2" s="190" t="s">
        <v>643</v>
      </c>
      <c r="J2" s="191"/>
      <c r="K2" s="192" t="s">
        <v>641</v>
      </c>
      <c r="L2" s="192" t="s">
        <v>676</v>
      </c>
      <c r="M2" s="193"/>
      <c r="N2" s="194" t="s">
        <v>643</v>
      </c>
      <c r="O2" s="191"/>
      <c r="P2" s="195" t="s">
        <v>641</v>
      </c>
      <c r="Q2" s="195" t="s">
        <v>677</v>
      </c>
      <c r="R2" s="196"/>
      <c r="S2" s="197" t="s">
        <v>643</v>
      </c>
      <c r="T2" s="191"/>
      <c r="U2" s="191"/>
      <c r="V2" s="198" t="s">
        <v>641</v>
      </c>
      <c r="W2" s="198" t="s">
        <v>678</v>
      </c>
      <c r="X2" s="199"/>
      <c r="Y2" s="200" t="s">
        <v>643</v>
      </c>
      <c r="Z2" s="191"/>
      <c r="AA2" s="201" t="s">
        <v>647</v>
      </c>
      <c r="AB2" s="185"/>
      <c r="AC2" s="201" t="s">
        <v>648</v>
      </c>
      <c r="AD2" s="185"/>
      <c r="AE2" s="31"/>
      <c r="AF2" s="31"/>
      <c r="AG2" s="31"/>
      <c r="AH2" s="31"/>
    </row>
    <row r="3">
      <c r="A3" s="202" t="s">
        <v>649</v>
      </c>
      <c r="B3" s="203" t="s">
        <v>650</v>
      </c>
      <c r="C3" s="202" t="s">
        <v>651</v>
      </c>
      <c r="D3" s="202" t="s">
        <v>652</v>
      </c>
      <c r="E3" s="202" t="s">
        <v>7</v>
      </c>
      <c r="F3" s="204" t="s">
        <v>653</v>
      </c>
      <c r="G3" s="205" t="s">
        <v>654</v>
      </c>
      <c r="H3" s="205" t="s">
        <v>655</v>
      </c>
      <c r="I3" s="206" t="s">
        <v>656</v>
      </c>
      <c r="J3" s="206" t="s">
        <v>657</v>
      </c>
      <c r="K3" s="207" t="s">
        <v>658</v>
      </c>
      <c r="L3" s="208" t="s">
        <v>654</v>
      </c>
      <c r="M3" s="208" t="s">
        <v>655</v>
      </c>
      <c r="N3" s="208" t="s">
        <v>656</v>
      </c>
      <c r="O3" s="207" t="s">
        <v>657</v>
      </c>
      <c r="P3" s="209" t="s">
        <v>659</v>
      </c>
      <c r="Q3" s="209" t="s">
        <v>654</v>
      </c>
      <c r="R3" s="210" t="s">
        <v>655</v>
      </c>
      <c r="S3" s="210" t="s">
        <v>656</v>
      </c>
      <c r="T3" s="232" t="s">
        <v>679</v>
      </c>
      <c r="U3" s="210" t="s">
        <v>657</v>
      </c>
      <c r="V3" s="211" t="s">
        <v>660</v>
      </c>
      <c r="W3" s="211" t="s">
        <v>654</v>
      </c>
      <c r="X3" s="212" t="s">
        <v>655</v>
      </c>
      <c r="Y3" s="211" t="s">
        <v>656</v>
      </c>
      <c r="Z3" s="212" t="s">
        <v>657</v>
      </c>
      <c r="AA3" s="213" t="s">
        <v>661</v>
      </c>
      <c r="AB3" s="213" t="s">
        <v>662</v>
      </c>
      <c r="AC3" s="213" t="s">
        <v>663</v>
      </c>
      <c r="AD3" s="213" t="s">
        <v>662</v>
      </c>
      <c r="AE3" s="214" t="s">
        <v>664</v>
      </c>
      <c r="AF3" s="215" t="s">
        <v>665</v>
      </c>
      <c r="AG3" s="215" t="s">
        <v>666</v>
      </c>
      <c r="AH3" s="215" t="s">
        <v>666</v>
      </c>
    </row>
    <row r="4">
      <c r="A4" s="216">
        <v>1.0</v>
      </c>
      <c r="B4" s="217" t="s">
        <v>62</v>
      </c>
      <c r="C4" s="28"/>
      <c r="D4" s="17" t="s">
        <v>20</v>
      </c>
      <c r="E4" s="17" t="s">
        <v>37</v>
      </c>
      <c r="F4" s="218" t="s">
        <v>92</v>
      </c>
      <c r="G4" s="219" t="s">
        <v>667</v>
      </c>
      <c r="H4" s="222"/>
      <c r="I4" s="221">
        <v>2.0</v>
      </c>
      <c r="J4" s="221">
        <v>2.0</v>
      </c>
      <c r="K4" s="218" t="s">
        <v>92</v>
      </c>
      <c r="L4" s="219" t="s">
        <v>667</v>
      </c>
      <c r="M4" s="222"/>
      <c r="N4" s="221">
        <v>2.0</v>
      </c>
      <c r="O4" s="221">
        <v>2.0</v>
      </c>
      <c r="P4" s="218" t="s">
        <v>92</v>
      </c>
      <c r="Q4" s="219" t="s">
        <v>667</v>
      </c>
      <c r="R4" s="222"/>
      <c r="S4" s="221">
        <v>1.0</v>
      </c>
      <c r="T4" s="221">
        <v>2.0</v>
      </c>
      <c r="U4" s="221">
        <v>2.0</v>
      </c>
      <c r="V4" s="218" t="s">
        <v>92</v>
      </c>
      <c r="W4" s="219" t="s">
        <v>667</v>
      </c>
      <c r="X4" s="222"/>
      <c r="Y4" s="221">
        <v>2.0</v>
      </c>
      <c r="Z4" s="221">
        <v>2.0</v>
      </c>
      <c r="AA4" s="223">
        <v>0.0</v>
      </c>
      <c r="AB4" s="223">
        <v>0.0</v>
      </c>
      <c r="AC4" s="223">
        <v>0.0</v>
      </c>
      <c r="AD4" s="223">
        <v>0.0</v>
      </c>
      <c r="AE4" s="224">
        <v>0.0</v>
      </c>
      <c r="AF4" s="174">
        <f t="shared" ref="AF4:AF56" si="2">I4+J4+N4+O4+S4+T4+U4+Y4+Z4+AA4+AB4+AC4+AD4</f>
        <v>17</v>
      </c>
      <c r="AG4" s="225">
        <f t="shared" ref="AG4:AH4" si="1">14.5-AF4</f>
        <v>-2.5</v>
      </c>
      <c r="AH4" s="225">
        <f t="shared" si="1"/>
        <v>17</v>
      </c>
    </row>
    <row r="5">
      <c r="A5" s="39">
        <v>2.0</v>
      </c>
      <c r="B5" s="41" t="s">
        <v>90</v>
      </c>
      <c r="C5" s="226"/>
      <c r="D5" s="29" t="s">
        <v>29</v>
      </c>
      <c r="E5" s="29" t="s">
        <v>68</v>
      </c>
      <c r="F5" s="218" t="s">
        <v>92</v>
      </c>
      <c r="G5" s="219" t="s">
        <v>667</v>
      </c>
      <c r="H5" s="222"/>
      <c r="I5" s="221">
        <v>2.0</v>
      </c>
      <c r="J5" s="221">
        <v>2.0</v>
      </c>
      <c r="K5" s="51" t="s">
        <v>92</v>
      </c>
      <c r="L5" s="51" t="s">
        <v>667</v>
      </c>
      <c r="M5" s="222"/>
      <c r="N5" s="221">
        <v>2.0</v>
      </c>
      <c r="O5" s="221">
        <v>2.0</v>
      </c>
      <c r="P5" s="51" t="s">
        <v>92</v>
      </c>
      <c r="Q5" s="51" t="s">
        <v>667</v>
      </c>
      <c r="R5" s="222"/>
      <c r="S5" s="221">
        <v>2.0</v>
      </c>
      <c r="T5" s="221">
        <v>2.0</v>
      </c>
      <c r="U5" s="221">
        <v>2.0</v>
      </c>
      <c r="V5" s="51" t="s">
        <v>92</v>
      </c>
      <c r="W5" s="51" t="s">
        <v>667</v>
      </c>
      <c r="X5" s="222"/>
      <c r="Y5" s="221">
        <v>2.0</v>
      </c>
      <c r="Z5" s="221">
        <v>2.0</v>
      </c>
      <c r="AA5" s="223">
        <v>2.0</v>
      </c>
      <c r="AB5" s="223">
        <v>0.0</v>
      </c>
      <c r="AC5" s="223">
        <v>0.0</v>
      </c>
      <c r="AD5" s="223">
        <v>0.0</v>
      </c>
      <c r="AE5" s="224">
        <v>0.0</v>
      </c>
      <c r="AF5" s="174">
        <f t="shared" si="2"/>
        <v>20</v>
      </c>
      <c r="AG5" s="225">
        <f t="shared" ref="AG5:AH5" si="3">14.5-AF5</f>
        <v>-5.5</v>
      </c>
      <c r="AH5" s="225">
        <f t="shared" si="3"/>
        <v>20</v>
      </c>
    </row>
    <row r="6">
      <c r="A6" s="216">
        <v>3.0</v>
      </c>
      <c r="B6" s="41" t="s">
        <v>90</v>
      </c>
      <c r="C6" s="55" t="s">
        <v>99</v>
      </c>
      <c r="D6" s="43" t="s">
        <v>95</v>
      </c>
      <c r="E6" s="43" t="s">
        <v>35</v>
      </c>
      <c r="F6" s="2" t="s">
        <v>92</v>
      </c>
      <c r="G6" s="2" t="s">
        <v>667</v>
      </c>
      <c r="H6" s="222"/>
      <c r="I6" s="221">
        <v>2.0</v>
      </c>
      <c r="J6" s="221">
        <v>2.0</v>
      </c>
      <c r="K6" s="2" t="s">
        <v>92</v>
      </c>
      <c r="L6" s="2" t="s">
        <v>667</v>
      </c>
      <c r="M6" s="222"/>
      <c r="N6" s="221">
        <v>2.0</v>
      </c>
      <c r="O6" s="221">
        <v>2.0</v>
      </c>
      <c r="P6" s="2" t="s">
        <v>92</v>
      </c>
      <c r="Q6" s="2" t="s">
        <v>667</v>
      </c>
      <c r="R6" s="222"/>
      <c r="S6" s="221">
        <v>2.0</v>
      </c>
      <c r="T6" s="221">
        <v>0.0</v>
      </c>
      <c r="U6" s="221">
        <v>2.0</v>
      </c>
      <c r="V6" s="2" t="s">
        <v>92</v>
      </c>
      <c r="W6" s="2" t="s">
        <v>667</v>
      </c>
      <c r="X6" s="222"/>
      <c r="Y6" s="221">
        <v>2.0</v>
      </c>
      <c r="Z6" s="221">
        <v>2.0</v>
      </c>
      <c r="AA6" s="223">
        <v>2.0</v>
      </c>
      <c r="AB6" s="223">
        <v>0.0</v>
      </c>
      <c r="AC6" s="223">
        <v>0.0</v>
      </c>
      <c r="AD6" s="223">
        <v>0.0</v>
      </c>
      <c r="AE6" s="224">
        <v>0.0</v>
      </c>
      <c r="AF6" s="174">
        <f t="shared" si="2"/>
        <v>18</v>
      </c>
      <c r="AG6" s="225">
        <f t="shared" ref="AG6:AH6" si="4">14.5-AF6</f>
        <v>-3.5</v>
      </c>
      <c r="AH6" s="225">
        <f t="shared" si="4"/>
        <v>18</v>
      </c>
    </row>
    <row r="7">
      <c r="A7" s="39">
        <v>4.0</v>
      </c>
      <c r="B7" s="62" t="s">
        <v>90</v>
      </c>
      <c r="C7" s="59"/>
      <c r="D7" s="54" t="s">
        <v>41</v>
      </c>
      <c r="E7" s="54" t="s">
        <v>42</v>
      </c>
      <c r="F7" s="2" t="s">
        <v>92</v>
      </c>
      <c r="G7" s="2" t="s">
        <v>667</v>
      </c>
      <c r="H7" s="222"/>
      <c r="I7" s="221">
        <v>2.0</v>
      </c>
      <c r="J7" s="221">
        <v>2.0</v>
      </c>
      <c r="K7" s="2" t="s">
        <v>92</v>
      </c>
      <c r="L7" s="2" t="s">
        <v>667</v>
      </c>
      <c r="M7" s="221" t="s">
        <v>668</v>
      </c>
      <c r="N7" s="221">
        <v>1.5</v>
      </c>
      <c r="O7" s="221">
        <v>2.0</v>
      </c>
      <c r="P7" s="2" t="s">
        <v>92</v>
      </c>
      <c r="Q7" s="2" t="s">
        <v>667</v>
      </c>
      <c r="R7" s="222"/>
      <c r="S7" s="221">
        <v>2.0</v>
      </c>
      <c r="T7" s="221">
        <v>2.0</v>
      </c>
      <c r="U7" s="221">
        <v>2.0</v>
      </c>
      <c r="V7" s="2" t="s">
        <v>92</v>
      </c>
      <c r="W7" s="2" t="s">
        <v>667</v>
      </c>
      <c r="X7" s="221" t="s">
        <v>681</v>
      </c>
      <c r="Y7" s="221">
        <v>2.0</v>
      </c>
      <c r="Z7" s="221">
        <v>2.0</v>
      </c>
      <c r="AA7" s="223">
        <v>0.0</v>
      </c>
      <c r="AB7" s="223">
        <v>0.0</v>
      </c>
      <c r="AC7" s="223">
        <v>0.0</v>
      </c>
      <c r="AD7" s="223">
        <v>0.0</v>
      </c>
      <c r="AE7" s="224">
        <v>0.0</v>
      </c>
      <c r="AF7" s="174">
        <f t="shared" si="2"/>
        <v>17.5</v>
      </c>
      <c r="AG7" s="225">
        <f t="shared" ref="AG7:AH7" si="5">14.5-AF7</f>
        <v>-3</v>
      </c>
      <c r="AH7" s="225">
        <f t="shared" si="5"/>
        <v>17.5</v>
      </c>
    </row>
    <row r="8">
      <c r="A8" s="216">
        <v>5.0</v>
      </c>
      <c r="B8" s="62" t="s">
        <v>90</v>
      </c>
      <c r="C8" s="59"/>
      <c r="D8" s="54" t="s">
        <v>48</v>
      </c>
      <c r="E8" s="54" t="s">
        <v>51</v>
      </c>
      <c r="F8" s="2" t="s">
        <v>92</v>
      </c>
      <c r="G8" s="2" t="s">
        <v>667</v>
      </c>
      <c r="H8" s="222"/>
      <c r="I8" s="221">
        <v>2.0</v>
      </c>
      <c r="J8" s="221">
        <v>2.0</v>
      </c>
      <c r="K8" s="2" t="s">
        <v>92</v>
      </c>
      <c r="L8" s="2" t="s">
        <v>667</v>
      </c>
      <c r="M8" s="221" t="s">
        <v>668</v>
      </c>
      <c r="N8" s="221">
        <v>2.0</v>
      </c>
      <c r="O8" s="221">
        <v>2.0</v>
      </c>
      <c r="P8" s="2" t="s">
        <v>92</v>
      </c>
      <c r="Q8" s="2" t="s">
        <v>667</v>
      </c>
      <c r="R8" s="222"/>
      <c r="S8" s="221">
        <v>2.0</v>
      </c>
      <c r="T8" s="221">
        <v>2.0</v>
      </c>
      <c r="U8" s="221">
        <v>2.0</v>
      </c>
      <c r="V8" s="2" t="s">
        <v>92</v>
      </c>
      <c r="W8" s="2" t="s">
        <v>667</v>
      </c>
      <c r="X8" s="222"/>
      <c r="Y8" s="221">
        <v>2.0</v>
      </c>
      <c r="Z8" s="221">
        <v>2.0</v>
      </c>
      <c r="AA8" s="223">
        <v>0.0</v>
      </c>
      <c r="AB8" s="223">
        <v>0.0</v>
      </c>
      <c r="AC8" s="223">
        <v>0.0</v>
      </c>
      <c r="AD8" s="223">
        <v>0.0</v>
      </c>
      <c r="AE8" s="224">
        <v>0.0</v>
      </c>
      <c r="AF8" s="174">
        <f t="shared" si="2"/>
        <v>18</v>
      </c>
      <c r="AG8" s="225">
        <f t="shared" ref="AG8:AH8" si="6">14.5-AF8</f>
        <v>-3.5</v>
      </c>
      <c r="AH8" s="225">
        <f t="shared" si="6"/>
        <v>18</v>
      </c>
    </row>
    <row r="9">
      <c r="A9" s="39">
        <v>6.0</v>
      </c>
      <c r="B9" s="62" t="s">
        <v>90</v>
      </c>
      <c r="C9" s="59"/>
      <c r="D9" s="43" t="s">
        <v>58</v>
      </c>
      <c r="E9" s="43" t="s">
        <v>148</v>
      </c>
      <c r="F9" s="2" t="s">
        <v>92</v>
      </c>
      <c r="G9" s="2" t="s">
        <v>667</v>
      </c>
      <c r="H9" s="222"/>
      <c r="I9" s="221">
        <v>2.0</v>
      </c>
      <c r="J9" s="221">
        <v>2.0</v>
      </c>
      <c r="K9" s="2" t="s">
        <v>92</v>
      </c>
      <c r="L9" s="2" t="s">
        <v>667</v>
      </c>
      <c r="M9" s="222"/>
      <c r="N9" s="221">
        <v>2.0</v>
      </c>
      <c r="O9" s="221">
        <v>2.0</v>
      </c>
      <c r="P9" s="2" t="s">
        <v>92</v>
      </c>
      <c r="Q9" s="2" t="s">
        <v>667</v>
      </c>
      <c r="R9" s="222"/>
      <c r="S9" s="221">
        <v>2.0</v>
      </c>
      <c r="T9" s="221">
        <v>2.0</v>
      </c>
      <c r="U9" s="221">
        <v>2.0</v>
      </c>
      <c r="V9" s="167" t="s">
        <v>672</v>
      </c>
      <c r="W9" s="167" t="s">
        <v>673</v>
      </c>
      <c r="X9" s="222"/>
      <c r="Y9" s="221">
        <v>2.0</v>
      </c>
      <c r="Z9" s="221">
        <v>2.0</v>
      </c>
      <c r="AA9" s="223">
        <v>2.0</v>
      </c>
      <c r="AB9" s="223">
        <v>0.0</v>
      </c>
      <c r="AC9" s="223">
        <v>0.0</v>
      </c>
      <c r="AD9" s="223">
        <v>0.0</v>
      </c>
      <c r="AE9" s="224">
        <v>1.0</v>
      </c>
      <c r="AF9" s="174">
        <f t="shared" si="2"/>
        <v>20</v>
      </c>
      <c r="AG9" s="225">
        <f t="shared" ref="AG9:AH9" si="7">14.5-AF9</f>
        <v>-5.5</v>
      </c>
      <c r="AH9" s="225">
        <f t="shared" si="7"/>
        <v>20</v>
      </c>
    </row>
    <row r="10">
      <c r="A10" s="216">
        <v>7.0</v>
      </c>
      <c r="B10" s="105" t="s">
        <v>90</v>
      </c>
      <c r="C10" s="68"/>
      <c r="D10" s="70" t="s">
        <v>63</v>
      </c>
      <c r="E10" s="74" t="s">
        <v>64</v>
      </c>
      <c r="F10" s="84" t="s">
        <v>92</v>
      </c>
      <c r="G10" s="2" t="s">
        <v>667</v>
      </c>
      <c r="H10" s="222"/>
      <c r="I10" s="221">
        <v>2.0</v>
      </c>
      <c r="J10" s="221">
        <v>2.0</v>
      </c>
      <c r="K10" s="2" t="s">
        <v>92</v>
      </c>
      <c r="L10" s="2" t="s">
        <v>667</v>
      </c>
      <c r="M10" s="222"/>
      <c r="N10" s="221">
        <v>2.0</v>
      </c>
      <c r="O10" s="221">
        <v>2.0</v>
      </c>
      <c r="P10" s="2" t="s">
        <v>92</v>
      </c>
      <c r="Q10" s="2" t="s">
        <v>667</v>
      </c>
      <c r="R10" s="222"/>
      <c r="S10" s="221">
        <v>2.0</v>
      </c>
      <c r="T10" s="221">
        <v>0.0</v>
      </c>
      <c r="U10" s="221">
        <v>2.0</v>
      </c>
      <c r="V10" s="2" t="s">
        <v>92</v>
      </c>
      <c r="W10" s="2" t="s">
        <v>667</v>
      </c>
      <c r="X10" s="222"/>
      <c r="Y10" s="221">
        <v>2.0</v>
      </c>
      <c r="Z10" s="221">
        <v>2.0</v>
      </c>
      <c r="AA10" s="223">
        <v>0.0</v>
      </c>
      <c r="AB10" s="223">
        <v>0.0</v>
      </c>
      <c r="AC10" s="223">
        <v>0.0</v>
      </c>
      <c r="AD10" s="223">
        <v>0.0</v>
      </c>
      <c r="AE10" s="224">
        <v>0.0</v>
      </c>
      <c r="AF10" s="174">
        <f t="shared" si="2"/>
        <v>16</v>
      </c>
      <c r="AG10" s="225">
        <f t="shared" ref="AG10:AH10" si="8">14.5-AF10</f>
        <v>-1.5</v>
      </c>
      <c r="AH10" s="225">
        <f t="shared" si="8"/>
        <v>16</v>
      </c>
    </row>
    <row r="11">
      <c r="A11" s="39">
        <v>8.0</v>
      </c>
      <c r="B11" s="62" t="s">
        <v>90</v>
      </c>
      <c r="C11" s="59"/>
      <c r="D11" s="54" t="s">
        <v>66</v>
      </c>
      <c r="E11" s="54" t="s">
        <v>187</v>
      </c>
      <c r="F11" s="2" t="s">
        <v>92</v>
      </c>
      <c r="G11" s="2" t="s">
        <v>667</v>
      </c>
      <c r="H11" s="222"/>
      <c r="I11" s="221">
        <v>2.0</v>
      </c>
      <c r="J11" s="221">
        <v>2.0</v>
      </c>
      <c r="K11" s="2" t="s">
        <v>92</v>
      </c>
      <c r="L11" s="2" t="s">
        <v>667</v>
      </c>
      <c r="M11" s="222"/>
      <c r="N11" s="221">
        <v>2.0</v>
      </c>
      <c r="O11" s="221">
        <v>2.0</v>
      </c>
      <c r="P11" s="2" t="s">
        <v>92</v>
      </c>
      <c r="Q11" s="2" t="s">
        <v>667</v>
      </c>
      <c r="R11" s="222"/>
      <c r="S11" s="221">
        <v>2.0</v>
      </c>
      <c r="T11" s="221">
        <v>2.0</v>
      </c>
      <c r="U11" s="221">
        <v>2.0</v>
      </c>
      <c r="V11" s="2" t="s">
        <v>92</v>
      </c>
      <c r="W11" s="2" t="s">
        <v>667</v>
      </c>
      <c r="X11" s="222"/>
      <c r="Y11" s="221">
        <v>1.0</v>
      </c>
      <c r="Z11" s="221">
        <v>2.0</v>
      </c>
      <c r="AA11" s="223">
        <v>0.0</v>
      </c>
      <c r="AB11" s="223">
        <v>0.0</v>
      </c>
      <c r="AC11" s="223">
        <v>0.0</v>
      </c>
      <c r="AD11" s="223">
        <v>0.0</v>
      </c>
      <c r="AE11" s="224">
        <v>0.0</v>
      </c>
      <c r="AF11" s="174">
        <f t="shared" si="2"/>
        <v>17</v>
      </c>
      <c r="AG11" s="225">
        <f t="shared" ref="AG11:AH11" si="9">14.5-AF11</f>
        <v>-2.5</v>
      </c>
      <c r="AH11" s="225">
        <f t="shared" si="9"/>
        <v>17</v>
      </c>
    </row>
    <row r="12">
      <c r="A12" s="216">
        <v>9.0</v>
      </c>
      <c r="B12" s="62" t="s">
        <v>90</v>
      </c>
      <c r="C12" s="59"/>
      <c r="D12" s="46" t="s">
        <v>71</v>
      </c>
      <c r="E12" s="46" t="s">
        <v>195</v>
      </c>
      <c r="F12" s="2" t="s">
        <v>92</v>
      </c>
      <c r="G12" s="2" t="s">
        <v>667</v>
      </c>
      <c r="H12" s="222"/>
      <c r="I12" s="221">
        <v>2.0</v>
      </c>
      <c r="J12" s="221">
        <v>2.0</v>
      </c>
      <c r="K12" s="2" t="s">
        <v>92</v>
      </c>
      <c r="L12" s="2" t="s">
        <v>667</v>
      </c>
      <c r="M12" s="221" t="s">
        <v>668</v>
      </c>
      <c r="N12" s="221">
        <v>2.0</v>
      </c>
      <c r="O12" s="221">
        <v>2.0</v>
      </c>
      <c r="P12" s="2" t="s">
        <v>92</v>
      </c>
      <c r="Q12" s="2" t="s">
        <v>667</v>
      </c>
      <c r="R12" s="222"/>
      <c r="S12" s="221">
        <v>2.0</v>
      </c>
      <c r="T12" s="221">
        <v>2.0</v>
      </c>
      <c r="U12" s="221">
        <v>2.0</v>
      </c>
      <c r="V12" s="2" t="s">
        <v>92</v>
      </c>
      <c r="W12" s="2" t="s">
        <v>667</v>
      </c>
      <c r="X12" s="222"/>
      <c r="Y12" s="221">
        <v>2.0</v>
      </c>
      <c r="Z12" s="221">
        <v>2.0</v>
      </c>
      <c r="AA12" s="223">
        <v>0.0</v>
      </c>
      <c r="AB12" s="223">
        <v>0.0</v>
      </c>
      <c r="AC12" s="223">
        <v>0.0</v>
      </c>
      <c r="AD12" s="223">
        <v>0.0</v>
      </c>
      <c r="AE12" s="224">
        <v>0.0</v>
      </c>
      <c r="AF12" s="174">
        <f t="shared" si="2"/>
        <v>18</v>
      </c>
      <c r="AG12" s="225">
        <f t="shared" ref="AG12:AH12" si="10">14.5-AF12</f>
        <v>-3.5</v>
      </c>
      <c r="AH12" s="225">
        <f t="shared" si="10"/>
        <v>18</v>
      </c>
    </row>
    <row r="13">
      <c r="A13" s="39">
        <v>10.0</v>
      </c>
      <c r="B13" s="62" t="s">
        <v>90</v>
      </c>
      <c r="C13" s="59"/>
      <c r="D13" s="54" t="s">
        <v>85</v>
      </c>
      <c r="E13" s="54" t="s">
        <v>86</v>
      </c>
      <c r="F13" s="2" t="s">
        <v>92</v>
      </c>
      <c r="G13" s="2" t="s">
        <v>667</v>
      </c>
      <c r="H13" s="222"/>
      <c r="I13" s="221">
        <v>1.5</v>
      </c>
      <c r="J13" s="221">
        <v>2.0</v>
      </c>
      <c r="K13" s="2" t="s">
        <v>92</v>
      </c>
      <c r="L13" s="2" t="s">
        <v>667</v>
      </c>
      <c r="M13" s="222"/>
      <c r="N13" s="221">
        <v>1.0</v>
      </c>
      <c r="O13" s="221">
        <v>2.0</v>
      </c>
      <c r="P13" s="2" t="s">
        <v>92</v>
      </c>
      <c r="Q13" s="2" t="s">
        <v>667</v>
      </c>
      <c r="R13" s="222"/>
      <c r="S13" s="221">
        <v>2.0</v>
      </c>
      <c r="T13" s="221">
        <v>2.0</v>
      </c>
      <c r="U13" s="221">
        <v>2.0</v>
      </c>
      <c r="V13" s="167" t="s">
        <v>672</v>
      </c>
      <c r="W13" s="167" t="s">
        <v>673</v>
      </c>
      <c r="X13" s="222"/>
      <c r="Y13" s="221">
        <v>2.0</v>
      </c>
      <c r="Z13" s="221">
        <v>2.0</v>
      </c>
      <c r="AA13" s="223">
        <v>0.0</v>
      </c>
      <c r="AB13" s="223">
        <v>0.0</v>
      </c>
      <c r="AC13" s="223">
        <v>0.0</v>
      </c>
      <c r="AD13" s="223">
        <v>0.0</v>
      </c>
      <c r="AE13" s="224">
        <v>1.0</v>
      </c>
      <c r="AF13" s="174">
        <f t="shared" si="2"/>
        <v>16.5</v>
      </c>
      <c r="AG13" s="225">
        <f t="shared" ref="AG13:AH13" si="11">14.5-AF13</f>
        <v>-2</v>
      </c>
      <c r="AH13" s="225">
        <f t="shared" si="11"/>
        <v>16.5</v>
      </c>
    </row>
    <row r="14">
      <c r="A14" s="216">
        <v>11.0</v>
      </c>
      <c r="B14" s="62" t="s">
        <v>90</v>
      </c>
      <c r="C14" s="59"/>
      <c r="D14" s="54" t="s">
        <v>88</v>
      </c>
      <c r="E14" s="54" t="s">
        <v>246</v>
      </c>
      <c r="F14" s="2" t="s">
        <v>92</v>
      </c>
      <c r="G14" s="2" t="s">
        <v>667</v>
      </c>
      <c r="H14" s="222"/>
      <c r="I14" s="221">
        <v>1.5</v>
      </c>
      <c r="J14" s="221">
        <v>2.0</v>
      </c>
      <c r="K14" s="2" t="s">
        <v>92</v>
      </c>
      <c r="L14" s="2" t="s">
        <v>667</v>
      </c>
      <c r="M14" s="222"/>
      <c r="N14" s="221">
        <v>2.0</v>
      </c>
      <c r="O14" s="221">
        <v>2.0</v>
      </c>
      <c r="P14" s="2" t="s">
        <v>92</v>
      </c>
      <c r="Q14" s="2" t="s">
        <v>667</v>
      </c>
      <c r="R14" s="222"/>
      <c r="S14" s="221">
        <v>1.5</v>
      </c>
      <c r="T14" s="221">
        <v>2.0</v>
      </c>
      <c r="U14" s="221">
        <v>2.0</v>
      </c>
      <c r="V14" s="2" t="s">
        <v>92</v>
      </c>
      <c r="W14" s="2" t="s">
        <v>667</v>
      </c>
      <c r="X14" s="222"/>
      <c r="Y14" s="221">
        <v>2.0</v>
      </c>
      <c r="Z14" s="221">
        <v>2.0</v>
      </c>
      <c r="AA14" s="223">
        <v>0.0</v>
      </c>
      <c r="AB14" s="223">
        <v>0.0</v>
      </c>
      <c r="AC14" s="223">
        <v>0.0</v>
      </c>
      <c r="AD14" s="223">
        <v>0.0</v>
      </c>
      <c r="AE14" s="224">
        <v>0.0</v>
      </c>
      <c r="AF14" s="174">
        <f t="shared" si="2"/>
        <v>17</v>
      </c>
      <c r="AG14" s="225">
        <f t="shared" ref="AG14:AH14" si="12">14.5-AF14</f>
        <v>-2.5</v>
      </c>
      <c r="AH14" s="225">
        <f t="shared" si="12"/>
        <v>17</v>
      </c>
    </row>
    <row r="15">
      <c r="A15" s="39">
        <v>12.0</v>
      </c>
      <c r="B15" s="62" t="s">
        <v>90</v>
      </c>
      <c r="C15" s="59"/>
      <c r="D15" s="43" t="s">
        <v>94</v>
      </c>
      <c r="E15" s="43" t="s">
        <v>258</v>
      </c>
      <c r="F15" s="2" t="s">
        <v>92</v>
      </c>
      <c r="G15" s="2" t="s">
        <v>667</v>
      </c>
      <c r="H15" s="222"/>
      <c r="I15" s="221">
        <v>2.0</v>
      </c>
      <c r="J15" s="221">
        <v>2.0</v>
      </c>
      <c r="K15" s="2" t="s">
        <v>92</v>
      </c>
      <c r="L15" s="2" t="s">
        <v>667</v>
      </c>
      <c r="M15" s="222"/>
      <c r="N15" s="221">
        <v>2.0</v>
      </c>
      <c r="O15" s="221">
        <v>2.0</v>
      </c>
      <c r="P15" s="2" t="s">
        <v>92</v>
      </c>
      <c r="Q15" s="2" t="s">
        <v>667</v>
      </c>
      <c r="R15" s="222"/>
      <c r="S15" s="221">
        <v>2.0</v>
      </c>
      <c r="T15" s="221">
        <v>2.0</v>
      </c>
      <c r="U15" s="221">
        <v>2.0</v>
      </c>
      <c r="V15" s="2" t="s">
        <v>92</v>
      </c>
      <c r="W15" s="2" t="s">
        <v>667</v>
      </c>
      <c r="X15" s="222"/>
      <c r="Y15" s="221">
        <v>2.0</v>
      </c>
      <c r="Z15" s="221">
        <v>2.0</v>
      </c>
      <c r="AA15" s="223">
        <v>1.5</v>
      </c>
      <c r="AB15" s="223">
        <v>0.0</v>
      </c>
      <c r="AC15" s="223">
        <v>0.0</v>
      </c>
      <c r="AD15" s="223">
        <v>0.0</v>
      </c>
      <c r="AE15" s="224">
        <v>0.0</v>
      </c>
      <c r="AF15" s="174">
        <f t="shared" si="2"/>
        <v>19.5</v>
      </c>
      <c r="AG15" s="225">
        <f t="shared" ref="AG15:AH15" si="13">14.5-AF15</f>
        <v>-5</v>
      </c>
      <c r="AH15" s="225">
        <f t="shared" si="13"/>
        <v>19.5</v>
      </c>
    </row>
    <row r="16">
      <c r="A16" s="216">
        <v>13.0</v>
      </c>
      <c r="B16" s="121" t="s">
        <v>90</v>
      </c>
      <c r="C16" s="87"/>
      <c r="D16" s="43" t="s">
        <v>107</v>
      </c>
      <c r="E16" s="46" t="s">
        <v>276</v>
      </c>
      <c r="F16" s="2" t="s">
        <v>92</v>
      </c>
      <c r="G16" s="2" t="s">
        <v>667</v>
      </c>
      <c r="H16" s="222"/>
      <c r="I16" s="221">
        <v>0.0</v>
      </c>
      <c r="J16" s="221">
        <v>2.0</v>
      </c>
      <c r="K16" s="2" t="s">
        <v>92</v>
      </c>
      <c r="L16" s="2" t="s">
        <v>667</v>
      </c>
      <c r="M16" s="221" t="s">
        <v>682</v>
      </c>
      <c r="N16" s="221">
        <v>2.0</v>
      </c>
      <c r="O16" s="221">
        <v>2.0</v>
      </c>
      <c r="P16" s="2" t="s">
        <v>92</v>
      </c>
      <c r="Q16" s="2" t="s">
        <v>667</v>
      </c>
      <c r="R16" s="222"/>
      <c r="S16" s="221">
        <v>1.5</v>
      </c>
      <c r="T16" s="221">
        <v>2.0</v>
      </c>
      <c r="U16" s="221">
        <v>2.0</v>
      </c>
      <c r="V16" s="2" t="s">
        <v>92</v>
      </c>
      <c r="W16" s="2" t="s">
        <v>667</v>
      </c>
      <c r="X16" s="222"/>
      <c r="Y16" s="221">
        <v>2.0</v>
      </c>
      <c r="Z16" s="221">
        <v>2.0</v>
      </c>
      <c r="AA16" s="223">
        <v>2.0</v>
      </c>
      <c r="AB16" s="223">
        <v>0.0</v>
      </c>
      <c r="AC16" s="223">
        <v>0.0</v>
      </c>
      <c r="AD16" s="223">
        <v>0.0</v>
      </c>
      <c r="AE16" s="224">
        <v>0.0</v>
      </c>
      <c r="AF16" s="174">
        <f t="shared" si="2"/>
        <v>17.5</v>
      </c>
      <c r="AG16" s="225">
        <f t="shared" ref="AG16:AH16" si="14">14.5-AF16</f>
        <v>-3</v>
      </c>
      <c r="AH16" s="225">
        <f t="shared" si="14"/>
        <v>17.5</v>
      </c>
    </row>
    <row r="17">
      <c r="A17" s="39">
        <v>14.0</v>
      </c>
      <c r="B17" s="62" t="s">
        <v>90</v>
      </c>
      <c r="C17" s="59"/>
      <c r="D17" s="43" t="s">
        <v>112</v>
      </c>
      <c r="E17" s="43" t="s">
        <v>292</v>
      </c>
      <c r="F17" s="2" t="s">
        <v>92</v>
      </c>
      <c r="G17" s="2" t="s">
        <v>667</v>
      </c>
      <c r="H17" s="222"/>
      <c r="I17" s="221">
        <v>1.5</v>
      </c>
      <c r="J17" s="221">
        <v>2.0</v>
      </c>
      <c r="K17" s="2" t="s">
        <v>92</v>
      </c>
      <c r="L17" s="2" t="s">
        <v>667</v>
      </c>
      <c r="M17" s="222"/>
      <c r="N17" s="221">
        <v>1.5</v>
      </c>
      <c r="O17" s="221">
        <v>2.0</v>
      </c>
      <c r="P17" s="2" t="s">
        <v>92</v>
      </c>
      <c r="Q17" s="2" t="s">
        <v>667</v>
      </c>
      <c r="R17" s="222"/>
      <c r="S17" s="221">
        <v>2.0</v>
      </c>
      <c r="T17" s="221">
        <v>2.0</v>
      </c>
      <c r="U17" s="221">
        <v>2.0</v>
      </c>
      <c r="V17" s="2" t="s">
        <v>92</v>
      </c>
      <c r="W17" s="2" t="s">
        <v>667</v>
      </c>
      <c r="X17" s="222"/>
      <c r="Y17" s="221">
        <v>2.0</v>
      </c>
      <c r="Z17" s="221">
        <v>2.0</v>
      </c>
      <c r="AA17" s="223">
        <v>2.0</v>
      </c>
      <c r="AB17" s="223">
        <v>0.0</v>
      </c>
      <c r="AC17" s="223">
        <v>0.0</v>
      </c>
      <c r="AD17" s="223">
        <v>0.0</v>
      </c>
      <c r="AE17" s="224">
        <v>0.0</v>
      </c>
      <c r="AF17" s="174">
        <f t="shared" si="2"/>
        <v>19</v>
      </c>
      <c r="AG17" s="225">
        <f t="shared" ref="AG17:AH17" si="15">14.5-AF17</f>
        <v>-4.5</v>
      </c>
      <c r="AH17" s="225">
        <f t="shared" si="15"/>
        <v>19</v>
      </c>
    </row>
    <row r="18">
      <c r="A18" s="216">
        <v>15.0</v>
      </c>
      <c r="B18" s="62" t="s">
        <v>90</v>
      </c>
      <c r="C18" s="59"/>
      <c r="D18" s="43" t="s">
        <v>112</v>
      </c>
      <c r="E18" s="43" t="s">
        <v>117</v>
      </c>
      <c r="F18" s="2" t="s">
        <v>92</v>
      </c>
      <c r="G18" s="2" t="s">
        <v>667</v>
      </c>
      <c r="H18" s="222"/>
      <c r="I18" s="221">
        <v>2.0</v>
      </c>
      <c r="J18" s="221">
        <v>2.0</v>
      </c>
      <c r="K18" s="2" t="s">
        <v>92</v>
      </c>
      <c r="L18" s="2" t="s">
        <v>667</v>
      </c>
      <c r="M18" s="222"/>
      <c r="N18" s="221">
        <v>2.0</v>
      </c>
      <c r="O18" s="221">
        <v>2.0</v>
      </c>
      <c r="P18" s="2" t="s">
        <v>92</v>
      </c>
      <c r="Q18" s="2" t="s">
        <v>667</v>
      </c>
      <c r="R18" s="222"/>
      <c r="S18" s="221">
        <v>2.0</v>
      </c>
      <c r="T18" s="221">
        <v>2.0</v>
      </c>
      <c r="U18" s="221">
        <v>2.0</v>
      </c>
      <c r="V18" s="2" t="s">
        <v>92</v>
      </c>
      <c r="W18" s="2" t="s">
        <v>667</v>
      </c>
      <c r="X18" s="222"/>
      <c r="Y18" s="221">
        <v>1.0</v>
      </c>
      <c r="Z18" s="221">
        <v>2.0</v>
      </c>
      <c r="AA18" s="223">
        <v>0.5</v>
      </c>
      <c r="AB18" s="223">
        <v>0.0</v>
      </c>
      <c r="AC18" s="223">
        <v>0.0</v>
      </c>
      <c r="AD18" s="223">
        <v>0.0</v>
      </c>
      <c r="AE18" s="224">
        <v>0.0</v>
      </c>
      <c r="AF18" s="174">
        <f t="shared" si="2"/>
        <v>17.5</v>
      </c>
      <c r="AG18" s="225">
        <f t="shared" ref="AG18:AH18" si="16">14.5-AF18</f>
        <v>-3</v>
      </c>
      <c r="AH18" s="225">
        <f t="shared" si="16"/>
        <v>17.5</v>
      </c>
    </row>
    <row r="19">
      <c r="A19" s="39">
        <v>16.0</v>
      </c>
      <c r="B19" s="62" t="s">
        <v>90</v>
      </c>
      <c r="C19" s="59"/>
      <c r="D19" s="43" t="s">
        <v>126</v>
      </c>
      <c r="E19" s="43" t="s">
        <v>127</v>
      </c>
      <c r="F19" s="2" t="s">
        <v>92</v>
      </c>
      <c r="G19" s="2" t="s">
        <v>667</v>
      </c>
      <c r="H19" s="222"/>
      <c r="I19" s="221">
        <v>0.0</v>
      </c>
      <c r="J19" s="221">
        <v>2.0</v>
      </c>
      <c r="K19" s="2" t="s">
        <v>92</v>
      </c>
      <c r="L19" s="2" t="s">
        <v>667</v>
      </c>
      <c r="M19" s="222"/>
      <c r="N19" s="221">
        <v>1.5</v>
      </c>
      <c r="O19" s="221">
        <v>2.0</v>
      </c>
      <c r="P19" s="2" t="s">
        <v>92</v>
      </c>
      <c r="Q19" s="2" t="s">
        <v>667</v>
      </c>
      <c r="R19" s="222"/>
      <c r="S19" s="221">
        <v>1.0</v>
      </c>
      <c r="T19" s="221">
        <v>2.0</v>
      </c>
      <c r="U19" s="221">
        <v>2.0</v>
      </c>
      <c r="V19" s="2" t="s">
        <v>92</v>
      </c>
      <c r="W19" s="2" t="s">
        <v>667</v>
      </c>
      <c r="X19" s="222"/>
      <c r="Y19" s="221">
        <v>2.0</v>
      </c>
      <c r="Z19" s="221">
        <v>2.0</v>
      </c>
      <c r="AA19" s="223">
        <v>2.0</v>
      </c>
      <c r="AB19" s="223">
        <v>0.0</v>
      </c>
      <c r="AC19" s="223">
        <v>0.0</v>
      </c>
      <c r="AD19" s="223">
        <v>0.0</v>
      </c>
      <c r="AE19" s="224">
        <v>0.0</v>
      </c>
      <c r="AF19" s="174">
        <f t="shared" si="2"/>
        <v>16.5</v>
      </c>
      <c r="AG19" s="225">
        <f t="shared" ref="AG19:AH19" si="17">14.5-AF19</f>
        <v>-2</v>
      </c>
      <c r="AH19" s="225">
        <f t="shared" si="17"/>
        <v>16.5</v>
      </c>
    </row>
    <row r="20">
      <c r="A20" s="216">
        <v>17.0</v>
      </c>
      <c r="B20" s="62" t="s">
        <v>90</v>
      </c>
      <c r="C20" s="59"/>
      <c r="D20" s="43" t="s">
        <v>119</v>
      </c>
      <c r="E20" s="43" t="s">
        <v>121</v>
      </c>
      <c r="F20" s="2" t="s">
        <v>92</v>
      </c>
      <c r="G20" s="2" t="s">
        <v>667</v>
      </c>
      <c r="H20" s="222"/>
      <c r="I20" s="229">
        <v>1.5</v>
      </c>
      <c r="J20" s="229">
        <v>2.0</v>
      </c>
      <c r="K20" s="2" t="s">
        <v>92</v>
      </c>
      <c r="L20" s="2" t="s">
        <v>667</v>
      </c>
      <c r="M20" s="222"/>
      <c r="N20" s="229">
        <v>1.5</v>
      </c>
      <c r="O20" s="228">
        <v>0.0</v>
      </c>
      <c r="P20" s="2" t="s">
        <v>92</v>
      </c>
      <c r="Q20" s="2" t="s">
        <v>667</v>
      </c>
      <c r="R20" s="222"/>
      <c r="S20" s="229">
        <v>0.5</v>
      </c>
      <c r="T20" s="221">
        <v>2.0</v>
      </c>
      <c r="U20" s="228">
        <v>0.0</v>
      </c>
      <c r="V20" s="2" t="s">
        <v>92</v>
      </c>
      <c r="W20" s="2" t="s">
        <v>667</v>
      </c>
      <c r="X20" s="222"/>
      <c r="Y20" s="229">
        <v>2.0</v>
      </c>
      <c r="Z20" s="229">
        <v>2.0</v>
      </c>
      <c r="AA20" s="230">
        <v>1.5</v>
      </c>
      <c r="AB20" s="231">
        <v>0.0</v>
      </c>
      <c r="AC20" s="231">
        <v>0.0</v>
      </c>
      <c r="AD20" s="231">
        <v>0.0</v>
      </c>
      <c r="AE20" s="224">
        <v>0.0</v>
      </c>
      <c r="AF20" s="174">
        <f t="shared" si="2"/>
        <v>13</v>
      </c>
      <c r="AG20" s="225">
        <f t="shared" ref="AG20:AH20" si="18">14.5-AF20</f>
        <v>1.5</v>
      </c>
      <c r="AH20" s="225">
        <f t="shared" si="18"/>
        <v>13</v>
      </c>
    </row>
    <row r="21">
      <c r="A21" s="39">
        <v>18.0</v>
      </c>
      <c r="B21" s="62" t="s">
        <v>90</v>
      </c>
      <c r="C21" s="59"/>
      <c r="D21" s="54" t="s">
        <v>135</v>
      </c>
      <c r="E21" s="54" t="s">
        <v>136</v>
      </c>
      <c r="F21" s="2" t="s">
        <v>92</v>
      </c>
      <c r="G21" s="2" t="s">
        <v>667</v>
      </c>
      <c r="H21" s="222"/>
      <c r="I21" s="221">
        <v>2.0</v>
      </c>
      <c r="J21" s="221">
        <v>2.0</v>
      </c>
      <c r="K21" s="2" t="s">
        <v>92</v>
      </c>
      <c r="L21" s="2" t="s">
        <v>667</v>
      </c>
      <c r="M21" s="222"/>
      <c r="N21" s="221">
        <v>0.0</v>
      </c>
      <c r="O21" s="221">
        <v>2.0</v>
      </c>
      <c r="P21" s="167" t="s">
        <v>672</v>
      </c>
      <c r="Q21" s="167" t="s">
        <v>673</v>
      </c>
      <c r="R21" s="222"/>
      <c r="S21" s="221">
        <v>2.0</v>
      </c>
      <c r="T21" s="221">
        <v>2.0</v>
      </c>
      <c r="U21" s="221">
        <v>2.0</v>
      </c>
      <c r="V21" s="2" t="s">
        <v>92</v>
      </c>
      <c r="W21" s="2" t="s">
        <v>667</v>
      </c>
      <c r="X21" s="222"/>
      <c r="Y21" s="221">
        <v>2.0</v>
      </c>
      <c r="Z21" s="221">
        <v>2.0</v>
      </c>
      <c r="AA21" s="223">
        <v>2.0</v>
      </c>
      <c r="AB21" s="223">
        <v>0.0</v>
      </c>
      <c r="AC21" s="223">
        <v>0.0</v>
      </c>
      <c r="AD21" s="223">
        <v>0.0</v>
      </c>
      <c r="AE21" s="224">
        <v>1.0</v>
      </c>
      <c r="AF21" s="174">
        <f t="shared" si="2"/>
        <v>18</v>
      </c>
      <c r="AG21" s="225">
        <f t="shared" ref="AG21:AH21" si="19">14.5-AF21</f>
        <v>-3.5</v>
      </c>
      <c r="AH21" s="225">
        <f t="shared" si="19"/>
        <v>18</v>
      </c>
    </row>
    <row r="22">
      <c r="A22" s="216">
        <v>19.0</v>
      </c>
      <c r="B22" s="62" t="s">
        <v>90</v>
      </c>
      <c r="C22" s="59"/>
      <c r="D22" s="43" t="s">
        <v>138</v>
      </c>
      <c r="E22" s="43" t="s">
        <v>139</v>
      </c>
      <c r="F22" s="2" t="s">
        <v>92</v>
      </c>
      <c r="G22" s="2" t="s">
        <v>667</v>
      </c>
      <c r="H22" s="222"/>
      <c r="I22" s="221">
        <v>2.0</v>
      </c>
      <c r="J22" s="221">
        <v>2.0</v>
      </c>
      <c r="K22" s="2" t="s">
        <v>92</v>
      </c>
      <c r="L22" s="2" t="s">
        <v>667</v>
      </c>
      <c r="M22" s="222"/>
      <c r="N22" s="221">
        <v>2.0</v>
      </c>
      <c r="O22" s="221">
        <v>2.0</v>
      </c>
      <c r="P22" s="2" t="s">
        <v>92</v>
      </c>
      <c r="Q22" s="2" t="s">
        <v>667</v>
      </c>
      <c r="R22" s="222"/>
      <c r="S22" s="221">
        <v>1.5</v>
      </c>
      <c r="T22" s="221">
        <v>2.0</v>
      </c>
      <c r="U22" s="221">
        <v>2.0</v>
      </c>
      <c r="V22" s="167" t="s">
        <v>672</v>
      </c>
      <c r="W22" s="167" t="s">
        <v>673</v>
      </c>
      <c r="X22" s="222"/>
      <c r="Y22" s="221">
        <v>2.0</v>
      </c>
      <c r="Z22" s="221">
        <v>2.0</v>
      </c>
      <c r="AA22" s="223">
        <v>0.0</v>
      </c>
      <c r="AB22" s="223">
        <v>0.0</v>
      </c>
      <c r="AC22" s="223">
        <v>0.0</v>
      </c>
      <c r="AD22" s="223">
        <v>0.0</v>
      </c>
      <c r="AE22" s="224">
        <v>1.0</v>
      </c>
      <c r="AF22" s="174">
        <f t="shared" si="2"/>
        <v>17.5</v>
      </c>
      <c r="AG22" s="225">
        <f t="shared" ref="AG22:AH22" si="20">14.5-AF22</f>
        <v>-3</v>
      </c>
      <c r="AH22" s="225">
        <f t="shared" si="20"/>
        <v>17.5</v>
      </c>
    </row>
    <row r="23">
      <c r="A23" s="39">
        <v>20.0</v>
      </c>
      <c r="B23" s="62" t="s">
        <v>90</v>
      </c>
      <c r="C23" s="59"/>
      <c r="D23" s="43" t="s">
        <v>146</v>
      </c>
      <c r="E23" s="43" t="s">
        <v>149</v>
      </c>
      <c r="F23" s="2" t="s">
        <v>92</v>
      </c>
      <c r="G23" s="2" t="s">
        <v>667</v>
      </c>
      <c r="H23" s="222"/>
      <c r="I23" s="221">
        <v>2.0</v>
      </c>
      <c r="J23" s="221">
        <v>2.0</v>
      </c>
      <c r="K23" s="2" t="s">
        <v>92</v>
      </c>
      <c r="L23" s="2" t="s">
        <v>667</v>
      </c>
      <c r="M23" s="222"/>
      <c r="N23" s="221">
        <v>2.0</v>
      </c>
      <c r="O23" s="221">
        <v>2.0</v>
      </c>
      <c r="P23" s="2" t="s">
        <v>92</v>
      </c>
      <c r="Q23" s="2" t="s">
        <v>667</v>
      </c>
      <c r="R23" s="222"/>
      <c r="S23" s="221">
        <v>2.0</v>
      </c>
      <c r="T23" s="221">
        <v>2.0</v>
      </c>
      <c r="U23" s="221">
        <v>2.0</v>
      </c>
      <c r="V23" s="2" t="s">
        <v>92</v>
      </c>
      <c r="W23" s="2" t="s">
        <v>667</v>
      </c>
      <c r="X23" s="222"/>
      <c r="Y23" s="221">
        <v>2.0</v>
      </c>
      <c r="Z23" s="221">
        <v>2.0</v>
      </c>
      <c r="AA23" s="223">
        <v>2.0</v>
      </c>
      <c r="AB23" s="223">
        <v>0.0</v>
      </c>
      <c r="AC23" s="223">
        <v>0.0</v>
      </c>
      <c r="AD23" s="223">
        <v>0.0</v>
      </c>
      <c r="AE23" s="224">
        <v>0.0</v>
      </c>
      <c r="AF23" s="174">
        <f t="shared" si="2"/>
        <v>20</v>
      </c>
      <c r="AG23" s="225">
        <f t="shared" ref="AG23:AH23" si="21">14.5-AF23</f>
        <v>-5.5</v>
      </c>
      <c r="AH23" s="225">
        <f t="shared" si="21"/>
        <v>20</v>
      </c>
    </row>
    <row r="24">
      <c r="A24" s="216">
        <v>21.0</v>
      </c>
      <c r="B24" s="105" t="s">
        <v>90</v>
      </c>
      <c r="C24" s="68"/>
      <c r="D24" s="74" t="s">
        <v>153</v>
      </c>
      <c r="E24" s="74" t="s">
        <v>154</v>
      </c>
      <c r="F24" s="167" t="s">
        <v>672</v>
      </c>
      <c r="G24" s="167" t="s">
        <v>673</v>
      </c>
      <c r="H24" s="222"/>
      <c r="I24" s="221">
        <v>2.0</v>
      </c>
      <c r="J24" s="221">
        <v>2.0</v>
      </c>
      <c r="K24" s="2" t="s">
        <v>92</v>
      </c>
      <c r="L24" s="2" t="s">
        <v>667</v>
      </c>
      <c r="M24" s="222"/>
      <c r="N24" s="221">
        <v>1.0</v>
      </c>
      <c r="O24" s="221">
        <v>2.0</v>
      </c>
      <c r="P24" s="2" t="s">
        <v>92</v>
      </c>
      <c r="Q24" s="2" t="s">
        <v>667</v>
      </c>
      <c r="R24" s="222"/>
      <c r="S24" s="221">
        <v>2.0</v>
      </c>
      <c r="T24" s="221">
        <v>0.0</v>
      </c>
      <c r="U24" s="221">
        <v>2.0</v>
      </c>
      <c r="V24" s="2" t="s">
        <v>92</v>
      </c>
      <c r="W24" s="2" t="s">
        <v>667</v>
      </c>
      <c r="X24" s="221" t="s">
        <v>683</v>
      </c>
      <c r="Y24" s="221">
        <v>1.0</v>
      </c>
      <c r="Z24" s="221">
        <v>2.0</v>
      </c>
      <c r="AA24" s="223">
        <v>0.5</v>
      </c>
      <c r="AB24" s="223">
        <v>0.0</v>
      </c>
      <c r="AC24" s="223">
        <v>0.0</v>
      </c>
      <c r="AD24" s="223">
        <v>0.0</v>
      </c>
      <c r="AE24" s="224">
        <v>1.0</v>
      </c>
      <c r="AF24" s="174">
        <f t="shared" si="2"/>
        <v>14.5</v>
      </c>
      <c r="AG24" s="225">
        <f t="shared" ref="AG24:AH24" si="22">14.5-AF24</f>
        <v>0</v>
      </c>
      <c r="AH24" s="225">
        <f t="shared" si="22"/>
        <v>14.5</v>
      </c>
    </row>
    <row r="25">
      <c r="A25" s="39">
        <v>22.0</v>
      </c>
      <c r="B25" s="62" t="s">
        <v>90</v>
      </c>
      <c r="C25" s="59"/>
      <c r="D25" s="54" t="s">
        <v>162</v>
      </c>
      <c r="E25" s="54" t="s">
        <v>163</v>
      </c>
      <c r="F25" s="2" t="s">
        <v>92</v>
      </c>
      <c r="G25" s="2" t="s">
        <v>667</v>
      </c>
      <c r="H25" s="222"/>
      <c r="I25" s="221">
        <v>0.0</v>
      </c>
      <c r="J25" s="221">
        <v>2.0</v>
      </c>
      <c r="K25" s="2" t="s">
        <v>92</v>
      </c>
      <c r="L25" s="2" t="s">
        <v>667</v>
      </c>
      <c r="M25" s="222"/>
      <c r="N25" s="221">
        <v>2.0</v>
      </c>
      <c r="O25" s="221">
        <v>2.0</v>
      </c>
      <c r="P25" s="2" t="s">
        <v>92</v>
      </c>
      <c r="Q25" s="2" t="s">
        <v>667</v>
      </c>
      <c r="R25" s="222"/>
      <c r="S25" s="221">
        <v>2.0</v>
      </c>
      <c r="T25" s="221">
        <v>2.0</v>
      </c>
      <c r="U25" s="221">
        <v>2.0</v>
      </c>
      <c r="V25" s="2" t="s">
        <v>92</v>
      </c>
      <c r="W25" s="2" t="s">
        <v>667</v>
      </c>
      <c r="X25" s="222"/>
      <c r="Y25" s="221">
        <v>2.0</v>
      </c>
      <c r="Z25" s="221">
        <v>2.0</v>
      </c>
      <c r="AA25" s="223">
        <v>2.0</v>
      </c>
      <c r="AB25" s="223">
        <v>0.0</v>
      </c>
      <c r="AC25" s="223">
        <v>0.0</v>
      </c>
      <c r="AD25" s="223">
        <v>0.0</v>
      </c>
      <c r="AE25" s="224">
        <v>0.0</v>
      </c>
      <c r="AF25" s="174">
        <f t="shared" si="2"/>
        <v>18</v>
      </c>
      <c r="AG25" s="225">
        <f t="shared" ref="AG25:AH25" si="23">14.5-AF25</f>
        <v>-3.5</v>
      </c>
      <c r="AH25" s="225">
        <f t="shared" si="23"/>
        <v>18</v>
      </c>
    </row>
    <row r="26">
      <c r="A26" s="216">
        <v>23.0</v>
      </c>
      <c r="B26" s="105" t="s">
        <v>90</v>
      </c>
      <c r="C26" s="68"/>
      <c r="D26" s="70" t="s">
        <v>165</v>
      </c>
      <c r="E26" s="74" t="s">
        <v>166</v>
      </c>
      <c r="F26" s="2" t="s">
        <v>92</v>
      </c>
      <c r="G26" s="2" t="s">
        <v>667</v>
      </c>
      <c r="H26" s="222"/>
      <c r="I26" s="221">
        <v>2.0</v>
      </c>
      <c r="J26" s="221">
        <v>2.0</v>
      </c>
      <c r="K26" s="2" t="s">
        <v>92</v>
      </c>
      <c r="L26" s="2" t="s">
        <v>667</v>
      </c>
      <c r="M26" s="222"/>
      <c r="N26" s="221">
        <v>2.0</v>
      </c>
      <c r="O26" s="221">
        <v>2.0</v>
      </c>
      <c r="P26" s="2" t="s">
        <v>92</v>
      </c>
      <c r="Q26" s="2" t="s">
        <v>667</v>
      </c>
      <c r="R26" s="222"/>
      <c r="S26" s="221">
        <v>2.0</v>
      </c>
      <c r="T26" s="221">
        <v>0.0</v>
      </c>
      <c r="U26" s="221">
        <v>2.0</v>
      </c>
      <c r="V26" s="2" t="s">
        <v>92</v>
      </c>
      <c r="W26" s="2" t="s">
        <v>667</v>
      </c>
      <c r="X26" s="222"/>
      <c r="Y26" s="221">
        <v>2.0</v>
      </c>
      <c r="Z26" s="221">
        <v>2.0</v>
      </c>
      <c r="AA26" s="223">
        <v>2.0</v>
      </c>
      <c r="AB26" s="223">
        <v>0.0</v>
      </c>
      <c r="AC26" s="223">
        <v>0.0</v>
      </c>
      <c r="AD26" s="223">
        <v>0.0</v>
      </c>
      <c r="AE26" s="224">
        <v>0.0</v>
      </c>
      <c r="AF26" s="174">
        <f t="shared" si="2"/>
        <v>18</v>
      </c>
      <c r="AG26" s="225">
        <f t="shared" ref="AG26:AH26" si="24">14.5-AF26</f>
        <v>-3.5</v>
      </c>
      <c r="AH26" s="225">
        <f t="shared" si="24"/>
        <v>18</v>
      </c>
    </row>
    <row r="27">
      <c r="A27" s="39">
        <v>24.0</v>
      </c>
      <c r="B27" s="62" t="s">
        <v>90</v>
      </c>
      <c r="C27" s="59"/>
      <c r="D27" s="43" t="s">
        <v>175</v>
      </c>
      <c r="E27" s="43" t="s">
        <v>80</v>
      </c>
      <c r="F27" s="2" t="s">
        <v>92</v>
      </c>
      <c r="G27" s="2" t="s">
        <v>667</v>
      </c>
      <c r="H27" s="222"/>
      <c r="I27" s="221">
        <v>1.0</v>
      </c>
      <c r="J27" s="221">
        <v>2.0</v>
      </c>
      <c r="K27" s="2" t="s">
        <v>92</v>
      </c>
      <c r="L27" s="2" t="s">
        <v>667</v>
      </c>
      <c r="M27" s="222"/>
      <c r="N27" s="221">
        <v>2.0</v>
      </c>
      <c r="O27" s="221">
        <v>2.0</v>
      </c>
      <c r="P27" s="2" t="s">
        <v>92</v>
      </c>
      <c r="Q27" s="2" t="s">
        <v>667</v>
      </c>
      <c r="R27" s="222"/>
      <c r="S27" s="221">
        <v>0.5</v>
      </c>
      <c r="T27" s="221">
        <v>2.0</v>
      </c>
      <c r="U27" s="221">
        <v>2.0</v>
      </c>
      <c r="V27" s="2" t="s">
        <v>92</v>
      </c>
      <c r="W27" s="2" t="s">
        <v>667</v>
      </c>
      <c r="X27" s="222"/>
      <c r="Y27" s="221">
        <v>2.0</v>
      </c>
      <c r="Z27" s="221">
        <v>2.0</v>
      </c>
      <c r="AA27" s="223">
        <v>2.0</v>
      </c>
      <c r="AB27" s="223">
        <v>0.0</v>
      </c>
      <c r="AC27" s="223">
        <v>0.0</v>
      </c>
      <c r="AD27" s="223">
        <v>0.0</v>
      </c>
      <c r="AE27" s="224">
        <v>0.0</v>
      </c>
      <c r="AF27" s="174">
        <f t="shared" si="2"/>
        <v>17.5</v>
      </c>
      <c r="AG27" s="225">
        <f t="shared" ref="AG27:AH27" si="25">14.5-AF27</f>
        <v>-3</v>
      </c>
      <c r="AH27" s="225">
        <f t="shared" si="25"/>
        <v>17.5</v>
      </c>
    </row>
    <row r="28">
      <c r="A28" s="216">
        <v>25.0</v>
      </c>
      <c r="B28" s="62" t="s">
        <v>90</v>
      </c>
      <c r="C28" s="59"/>
      <c r="D28" s="46" t="s">
        <v>180</v>
      </c>
      <c r="E28" s="46" t="s">
        <v>181</v>
      </c>
      <c r="F28" s="167" t="s">
        <v>672</v>
      </c>
      <c r="G28" s="167" t="s">
        <v>684</v>
      </c>
      <c r="H28" s="222"/>
      <c r="I28" s="221">
        <v>0.0</v>
      </c>
      <c r="J28" s="221">
        <v>0.0</v>
      </c>
      <c r="K28" s="2" t="s">
        <v>92</v>
      </c>
      <c r="L28" s="2" t="s">
        <v>667</v>
      </c>
      <c r="M28" s="222"/>
      <c r="N28" s="221">
        <v>2.0</v>
      </c>
      <c r="O28" s="221">
        <v>2.0</v>
      </c>
      <c r="P28" s="2" t="s">
        <v>92</v>
      </c>
      <c r="Q28" s="2" t="s">
        <v>667</v>
      </c>
      <c r="R28" s="222"/>
      <c r="S28" s="221">
        <v>2.0</v>
      </c>
      <c r="T28" s="221">
        <v>2.0</v>
      </c>
      <c r="U28" s="221">
        <v>2.0</v>
      </c>
      <c r="V28" s="2" t="s">
        <v>92</v>
      </c>
      <c r="W28" s="2" t="s">
        <v>667</v>
      </c>
      <c r="X28" s="222"/>
      <c r="Y28" s="221">
        <v>0.0</v>
      </c>
      <c r="Z28" s="221">
        <v>2.0</v>
      </c>
      <c r="AA28" s="223">
        <v>2.0</v>
      </c>
      <c r="AB28" s="223">
        <v>0.0</v>
      </c>
      <c r="AC28" s="223">
        <v>0.0</v>
      </c>
      <c r="AD28" s="223">
        <v>0.0</v>
      </c>
      <c r="AE28" s="224">
        <v>1.0</v>
      </c>
      <c r="AF28" s="174">
        <f t="shared" si="2"/>
        <v>14</v>
      </c>
      <c r="AG28" s="225">
        <f t="shared" ref="AG28:AH28" si="26">14.5-AF28</f>
        <v>0.5</v>
      </c>
      <c r="AH28" s="225">
        <f t="shared" si="26"/>
        <v>14</v>
      </c>
    </row>
    <row r="29">
      <c r="A29" s="39">
        <v>26.0</v>
      </c>
      <c r="B29" s="105" t="s">
        <v>90</v>
      </c>
      <c r="C29" s="68"/>
      <c r="D29" s="70" t="s">
        <v>184</v>
      </c>
      <c r="E29" s="74" t="s">
        <v>185</v>
      </c>
      <c r="F29" s="2" t="s">
        <v>92</v>
      </c>
      <c r="G29" s="2" t="s">
        <v>667</v>
      </c>
      <c r="H29" s="222"/>
      <c r="I29" s="221">
        <v>2.0</v>
      </c>
      <c r="J29" s="221">
        <v>2.0</v>
      </c>
      <c r="K29" s="167" t="s">
        <v>92</v>
      </c>
      <c r="L29" s="167" t="s">
        <v>667</v>
      </c>
      <c r="M29" s="221"/>
      <c r="N29" s="221">
        <v>2.0</v>
      </c>
      <c r="O29" s="221">
        <v>2.0</v>
      </c>
      <c r="P29" s="2" t="s">
        <v>92</v>
      </c>
      <c r="Q29" s="2" t="s">
        <v>667</v>
      </c>
      <c r="R29" s="222"/>
      <c r="S29" s="221">
        <v>2.0</v>
      </c>
      <c r="T29" s="221">
        <v>0.0</v>
      </c>
      <c r="U29" s="221">
        <v>2.0</v>
      </c>
      <c r="V29" s="2" t="s">
        <v>92</v>
      </c>
      <c r="W29" s="2" t="s">
        <v>667</v>
      </c>
      <c r="X29" s="222"/>
      <c r="Y29" s="221">
        <v>2.0</v>
      </c>
      <c r="Z29" s="221">
        <v>2.0</v>
      </c>
      <c r="AA29" s="223">
        <v>2.0</v>
      </c>
      <c r="AB29" s="223">
        <v>0.0</v>
      </c>
      <c r="AC29" s="223">
        <v>0.0</v>
      </c>
      <c r="AD29" s="223">
        <v>0.0</v>
      </c>
      <c r="AE29" s="224">
        <v>0.0</v>
      </c>
      <c r="AF29" s="174">
        <f t="shared" si="2"/>
        <v>18</v>
      </c>
      <c r="AG29" s="225">
        <f t="shared" ref="AG29:AH29" si="27">14.5-AF29</f>
        <v>-3.5</v>
      </c>
      <c r="AH29" s="225">
        <f t="shared" si="27"/>
        <v>18</v>
      </c>
    </row>
    <row r="30">
      <c r="A30" s="216">
        <v>27.0</v>
      </c>
      <c r="B30" s="62" t="s">
        <v>90</v>
      </c>
      <c r="C30" s="59"/>
      <c r="D30" s="54" t="s">
        <v>193</v>
      </c>
      <c r="E30" s="54" t="s">
        <v>194</v>
      </c>
      <c r="F30" s="218" t="s">
        <v>92</v>
      </c>
      <c r="G30" s="2" t="s">
        <v>667</v>
      </c>
      <c r="H30" s="222"/>
      <c r="I30" s="221">
        <v>0.0</v>
      </c>
      <c r="J30" s="221">
        <v>2.0</v>
      </c>
      <c r="K30" s="2" t="s">
        <v>92</v>
      </c>
      <c r="L30" s="2" t="s">
        <v>667</v>
      </c>
      <c r="M30" s="222"/>
      <c r="N30" s="221">
        <v>0.0</v>
      </c>
      <c r="O30" s="221">
        <v>2.0</v>
      </c>
      <c r="P30" s="2" t="s">
        <v>92</v>
      </c>
      <c r="Q30" s="2" t="s">
        <v>667</v>
      </c>
      <c r="R30" s="222"/>
      <c r="S30" s="221">
        <v>2.0</v>
      </c>
      <c r="T30" s="221">
        <v>2.0</v>
      </c>
      <c r="U30" s="221">
        <v>2.0</v>
      </c>
      <c r="V30" s="2" t="s">
        <v>92</v>
      </c>
      <c r="W30" s="2" t="s">
        <v>667</v>
      </c>
      <c r="X30" s="222"/>
      <c r="Y30" s="221">
        <v>1.5</v>
      </c>
      <c r="Z30" s="221">
        <v>2.0</v>
      </c>
      <c r="AA30" s="223">
        <v>0.0</v>
      </c>
      <c r="AB30" s="223">
        <v>0.0</v>
      </c>
      <c r="AC30" s="223">
        <v>0.0</v>
      </c>
      <c r="AD30" s="223">
        <v>0.0</v>
      </c>
      <c r="AE30" s="224">
        <v>0.0</v>
      </c>
      <c r="AF30" s="174">
        <f t="shared" si="2"/>
        <v>13.5</v>
      </c>
      <c r="AG30" s="225">
        <f t="shared" ref="AG30:AH30" si="28">14.5-AF30</f>
        <v>1</v>
      </c>
      <c r="AH30" s="225">
        <f t="shared" si="28"/>
        <v>13.5</v>
      </c>
    </row>
    <row r="31">
      <c r="A31" s="39">
        <v>28.0</v>
      </c>
      <c r="B31" s="62" t="s">
        <v>90</v>
      </c>
      <c r="C31" s="59"/>
      <c r="D31" s="54" t="s">
        <v>199</v>
      </c>
      <c r="E31" s="54" t="s">
        <v>200</v>
      </c>
      <c r="F31" s="218" t="s">
        <v>92</v>
      </c>
      <c r="G31" s="2" t="s">
        <v>667</v>
      </c>
      <c r="H31" s="222"/>
      <c r="I31" s="221">
        <v>0.0</v>
      </c>
      <c r="J31" s="221">
        <v>2.0</v>
      </c>
      <c r="K31" s="2" t="s">
        <v>92</v>
      </c>
      <c r="L31" s="2" t="s">
        <v>667</v>
      </c>
      <c r="M31" s="222"/>
      <c r="N31" s="221">
        <v>2.0</v>
      </c>
      <c r="O31" s="221">
        <v>2.0</v>
      </c>
      <c r="P31" s="2" t="s">
        <v>92</v>
      </c>
      <c r="Q31" s="2" t="s">
        <v>667</v>
      </c>
      <c r="R31" s="222"/>
      <c r="S31" s="221">
        <v>2.0</v>
      </c>
      <c r="T31" s="221">
        <v>2.0</v>
      </c>
      <c r="U31" s="221">
        <v>2.0</v>
      </c>
      <c r="V31" s="2" t="s">
        <v>92</v>
      </c>
      <c r="W31" s="2" t="s">
        <v>667</v>
      </c>
      <c r="X31" s="222"/>
      <c r="Y31" s="221">
        <v>2.0</v>
      </c>
      <c r="Z31" s="221">
        <v>2.0</v>
      </c>
      <c r="AA31" s="223">
        <v>0.0</v>
      </c>
      <c r="AB31" s="223">
        <v>0.0</v>
      </c>
      <c r="AC31" s="223">
        <v>0.0</v>
      </c>
      <c r="AD31" s="223">
        <v>0.0</v>
      </c>
      <c r="AE31" s="224">
        <v>0.0</v>
      </c>
      <c r="AF31" s="174">
        <f t="shared" si="2"/>
        <v>16</v>
      </c>
      <c r="AG31" s="225">
        <f t="shared" ref="AG31:AH31" si="29">14.5-AF31</f>
        <v>-1.5</v>
      </c>
      <c r="AH31" s="225">
        <f t="shared" si="29"/>
        <v>16</v>
      </c>
    </row>
    <row r="32">
      <c r="A32" s="216">
        <v>29.0</v>
      </c>
      <c r="B32" s="62" t="s">
        <v>90</v>
      </c>
      <c r="C32" s="59"/>
      <c r="D32" s="46" t="s">
        <v>206</v>
      </c>
      <c r="E32" s="46" t="s">
        <v>397</v>
      </c>
      <c r="F32" s="218" t="s">
        <v>92</v>
      </c>
      <c r="G32" s="2" t="s">
        <v>667</v>
      </c>
      <c r="H32" s="222"/>
      <c r="I32" s="221">
        <v>2.0</v>
      </c>
      <c r="J32" s="221">
        <v>2.0</v>
      </c>
      <c r="K32" s="2" t="s">
        <v>92</v>
      </c>
      <c r="L32" s="2" t="s">
        <v>667</v>
      </c>
      <c r="M32" s="221" t="s">
        <v>685</v>
      </c>
      <c r="N32" s="221">
        <v>2.0</v>
      </c>
      <c r="O32" s="221">
        <v>2.0</v>
      </c>
      <c r="P32" s="2" t="s">
        <v>92</v>
      </c>
      <c r="Q32" s="2" t="s">
        <v>667</v>
      </c>
      <c r="R32" s="222"/>
      <c r="S32" s="221">
        <v>2.0</v>
      </c>
      <c r="T32" s="221">
        <v>2.0</v>
      </c>
      <c r="U32" s="221">
        <v>2.0</v>
      </c>
      <c r="V32" s="2" t="s">
        <v>92</v>
      </c>
      <c r="W32" s="2" t="s">
        <v>667</v>
      </c>
      <c r="X32" s="222"/>
      <c r="Y32" s="221">
        <v>2.0</v>
      </c>
      <c r="Z32" s="221">
        <v>2.0</v>
      </c>
      <c r="AA32" s="223">
        <v>0.0</v>
      </c>
      <c r="AB32" s="223">
        <v>0.0</v>
      </c>
      <c r="AC32" s="223">
        <v>0.0</v>
      </c>
      <c r="AD32" s="223">
        <v>0.0</v>
      </c>
      <c r="AE32" s="224">
        <v>0.0</v>
      </c>
      <c r="AF32" s="174">
        <f t="shared" si="2"/>
        <v>18</v>
      </c>
      <c r="AG32" s="225">
        <f t="shared" ref="AG32:AH32" si="30">14.5-AF32</f>
        <v>-3.5</v>
      </c>
      <c r="AH32" s="225">
        <f t="shared" si="30"/>
        <v>18</v>
      </c>
    </row>
    <row r="33">
      <c r="A33" s="39">
        <v>30.0</v>
      </c>
      <c r="B33" s="62" t="s">
        <v>90</v>
      </c>
      <c r="C33" s="59"/>
      <c r="D33" s="36" t="s">
        <v>210</v>
      </c>
      <c r="E33" s="36" t="s">
        <v>211</v>
      </c>
      <c r="F33" s="218" t="s">
        <v>92</v>
      </c>
      <c r="G33" s="2" t="s">
        <v>667</v>
      </c>
      <c r="H33" s="222"/>
      <c r="I33" s="221">
        <v>2.0</v>
      </c>
      <c r="J33" s="221">
        <v>1.0</v>
      </c>
      <c r="K33" s="2" t="s">
        <v>92</v>
      </c>
      <c r="L33" s="2" t="s">
        <v>667</v>
      </c>
      <c r="M33" s="221" t="s">
        <v>686</v>
      </c>
      <c r="N33" s="221">
        <v>2.0</v>
      </c>
      <c r="O33" s="221">
        <v>0.0</v>
      </c>
      <c r="P33" s="2" t="s">
        <v>92</v>
      </c>
      <c r="Q33" s="2" t="s">
        <v>667</v>
      </c>
      <c r="R33" s="222"/>
      <c r="S33" s="221">
        <v>2.0</v>
      </c>
      <c r="T33" s="221">
        <v>0.0</v>
      </c>
      <c r="U33" s="221">
        <v>1.0</v>
      </c>
      <c r="V33" s="2" t="s">
        <v>92</v>
      </c>
      <c r="W33" s="2" t="s">
        <v>667</v>
      </c>
      <c r="X33" s="221" t="s">
        <v>681</v>
      </c>
      <c r="Y33" s="221">
        <v>2.0</v>
      </c>
      <c r="Z33" s="221">
        <v>2.0</v>
      </c>
      <c r="AA33" s="223">
        <v>2.0</v>
      </c>
      <c r="AB33" s="223">
        <v>0.0</v>
      </c>
      <c r="AC33" s="223">
        <v>0.0</v>
      </c>
      <c r="AD33" s="223">
        <v>0.0</v>
      </c>
      <c r="AE33" s="224">
        <v>0.0</v>
      </c>
      <c r="AF33" s="174">
        <f t="shared" si="2"/>
        <v>14</v>
      </c>
      <c r="AG33" s="225">
        <f t="shared" ref="AG33:AH33" si="31">14.5-AF33</f>
        <v>0.5</v>
      </c>
      <c r="AH33" s="225">
        <f t="shared" si="31"/>
        <v>14</v>
      </c>
    </row>
    <row r="34">
      <c r="A34" s="216">
        <v>31.0</v>
      </c>
      <c r="B34" s="62" t="s">
        <v>90</v>
      </c>
      <c r="C34" s="59"/>
      <c r="D34" s="43" t="s">
        <v>219</v>
      </c>
      <c r="E34" s="43" t="s">
        <v>415</v>
      </c>
      <c r="F34" s="218" t="s">
        <v>92</v>
      </c>
      <c r="G34" s="2" t="s">
        <v>667</v>
      </c>
      <c r="H34" s="222"/>
      <c r="I34" s="221">
        <v>2.0</v>
      </c>
      <c r="J34" s="221">
        <v>2.0</v>
      </c>
      <c r="K34" s="2" t="s">
        <v>92</v>
      </c>
      <c r="L34" s="2" t="s">
        <v>667</v>
      </c>
      <c r="M34" s="222"/>
      <c r="N34" s="221">
        <v>2.0</v>
      </c>
      <c r="O34" s="221">
        <v>2.0</v>
      </c>
      <c r="P34" s="2" t="s">
        <v>92</v>
      </c>
      <c r="Q34" s="2" t="s">
        <v>667</v>
      </c>
      <c r="R34" s="222"/>
      <c r="S34" s="221">
        <v>2.0</v>
      </c>
      <c r="T34" s="221">
        <v>0.0</v>
      </c>
      <c r="U34" s="221">
        <v>2.0</v>
      </c>
      <c r="V34" s="2" t="s">
        <v>92</v>
      </c>
      <c r="W34" s="2" t="s">
        <v>667</v>
      </c>
      <c r="X34" s="222"/>
      <c r="Y34" s="221">
        <v>2.0</v>
      </c>
      <c r="Z34" s="221">
        <v>2.0</v>
      </c>
      <c r="AA34" s="223">
        <v>2.0</v>
      </c>
      <c r="AB34" s="223">
        <v>0.0</v>
      </c>
      <c r="AC34" s="223">
        <v>0.0</v>
      </c>
      <c r="AD34" s="223">
        <v>0.0</v>
      </c>
      <c r="AE34" s="224">
        <v>0.0</v>
      </c>
      <c r="AF34" s="174">
        <f t="shared" si="2"/>
        <v>18</v>
      </c>
      <c r="AG34" s="225">
        <f t="shared" ref="AG34:AH34" si="32">14.5-AF34</f>
        <v>-3.5</v>
      </c>
      <c r="AH34" s="225">
        <f t="shared" si="32"/>
        <v>18</v>
      </c>
    </row>
    <row r="35">
      <c r="A35" s="39">
        <v>32.0</v>
      </c>
      <c r="B35" s="62" t="s">
        <v>90</v>
      </c>
      <c r="C35" s="55" t="s">
        <v>99</v>
      </c>
      <c r="D35" s="43" t="s">
        <v>219</v>
      </c>
      <c r="E35" s="43" t="s">
        <v>225</v>
      </c>
      <c r="F35" s="218" t="s">
        <v>92</v>
      </c>
      <c r="G35" s="2" t="s">
        <v>667</v>
      </c>
      <c r="H35" s="222"/>
      <c r="I35" s="221">
        <v>2.0</v>
      </c>
      <c r="J35" s="221">
        <v>2.0</v>
      </c>
      <c r="K35" s="2" t="s">
        <v>92</v>
      </c>
      <c r="L35" s="2" t="s">
        <v>667</v>
      </c>
      <c r="M35" s="222"/>
      <c r="N35" s="221">
        <v>2.0</v>
      </c>
      <c r="O35" s="221">
        <v>2.0</v>
      </c>
      <c r="P35" s="2" t="s">
        <v>92</v>
      </c>
      <c r="Q35" s="2" t="s">
        <v>667</v>
      </c>
      <c r="R35" s="222"/>
      <c r="S35" s="221">
        <v>2.0</v>
      </c>
      <c r="T35" s="221">
        <v>0.0</v>
      </c>
      <c r="U35" s="221">
        <v>2.0</v>
      </c>
      <c r="V35" s="2" t="s">
        <v>92</v>
      </c>
      <c r="W35" s="2" t="s">
        <v>667</v>
      </c>
      <c r="X35" s="222"/>
      <c r="Y35" s="221">
        <v>2.0</v>
      </c>
      <c r="Z35" s="221">
        <v>2.0</v>
      </c>
      <c r="AA35" s="223">
        <v>2.0</v>
      </c>
      <c r="AB35" s="223">
        <v>0.0</v>
      </c>
      <c r="AC35" s="223">
        <v>0.0</v>
      </c>
      <c r="AD35" s="223">
        <v>0.0</v>
      </c>
      <c r="AE35" s="224">
        <v>0.0</v>
      </c>
      <c r="AF35" s="174">
        <f t="shared" si="2"/>
        <v>18</v>
      </c>
      <c r="AG35" s="225">
        <f t="shared" ref="AG35:AH35" si="33">14.5-AF35</f>
        <v>-3.5</v>
      </c>
      <c r="AH35" s="225">
        <f t="shared" si="33"/>
        <v>18</v>
      </c>
    </row>
    <row r="36">
      <c r="A36" s="216">
        <v>33.0</v>
      </c>
      <c r="B36" s="62" t="s">
        <v>90</v>
      </c>
      <c r="C36" s="59"/>
      <c r="D36" s="99" t="s">
        <v>233</v>
      </c>
      <c r="E36" s="99" t="s">
        <v>234</v>
      </c>
      <c r="F36" s="218" t="s">
        <v>92</v>
      </c>
      <c r="G36" s="2" t="s">
        <v>667</v>
      </c>
      <c r="H36" s="222"/>
      <c r="I36" s="221">
        <v>2.0</v>
      </c>
      <c r="J36" s="221">
        <v>2.0</v>
      </c>
      <c r="K36" s="2" t="s">
        <v>92</v>
      </c>
      <c r="L36" s="2" t="s">
        <v>667</v>
      </c>
      <c r="M36" s="222"/>
      <c r="N36" s="221">
        <v>2.0</v>
      </c>
      <c r="O36" s="221">
        <v>2.0</v>
      </c>
      <c r="P36" s="2" t="s">
        <v>92</v>
      </c>
      <c r="Q36" s="2" t="s">
        <v>667</v>
      </c>
      <c r="R36" s="222"/>
      <c r="S36" s="221">
        <v>2.0</v>
      </c>
      <c r="T36" s="221">
        <v>2.0</v>
      </c>
      <c r="U36" s="221">
        <v>2.0</v>
      </c>
      <c r="V36" s="2" t="s">
        <v>92</v>
      </c>
      <c r="W36" s="2" t="s">
        <v>667</v>
      </c>
      <c r="X36" s="222"/>
      <c r="Y36" s="221">
        <v>2.0</v>
      </c>
      <c r="Z36" s="221">
        <v>2.0</v>
      </c>
      <c r="AA36" s="223">
        <v>0.0</v>
      </c>
      <c r="AB36" s="223">
        <v>0.0</v>
      </c>
      <c r="AC36" s="223">
        <v>0.0</v>
      </c>
      <c r="AD36" s="223">
        <v>0.0</v>
      </c>
      <c r="AE36" s="224">
        <v>0.0</v>
      </c>
      <c r="AF36" s="174">
        <f t="shared" si="2"/>
        <v>18</v>
      </c>
      <c r="AG36" s="225">
        <f t="shared" ref="AG36:AH36" si="34">14.5-AF36</f>
        <v>-3.5</v>
      </c>
      <c r="AH36" s="225">
        <f t="shared" si="34"/>
        <v>18</v>
      </c>
    </row>
    <row r="37">
      <c r="A37" s="39">
        <v>34.0</v>
      </c>
      <c r="B37" s="117" t="s">
        <v>90</v>
      </c>
      <c r="C37" s="113"/>
      <c r="D37" s="114" t="s">
        <v>243</v>
      </c>
      <c r="E37" s="114" t="s">
        <v>244</v>
      </c>
      <c r="F37" s="219" t="s">
        <v>92</v>
      </c>
      <c r="G37" s="167" t="s">
        <v>667</v>
      </c>
      <c r="H37" s="221" t="s">
        <v>687</v>
      </c>
      <c r="I37" s="221">
        <v>2.0</v>
      </c>
      <c r="J37" s="221">
        <v>0.0</v>
      </c>
      <c r="K37" s="167" t="s">
        <v>92</v>
      </c>
      <c r="L37" s="167" t="s">
        <v>667</v>
      </c>
      <c r="M37" s="221" t="s">
        <v>688</v>
      </c>
      <c r="N37" s="221">
        <v>2.0</v>
      </c>
      <c r="O37" s="221">
        <v>1.0</v>
      </c>
      <c r="P37" s="2" t="s">
        <v>92</v>
      </c>
      <c r="Q37" s="2" t="s">
        <v>667</v>
      </c>
      <c r="R37" s="222"/>
      <c r="S37" s="221">
        <v>2.0</v>
      </c>
      <c r="T37" s="221">
        <v>0.0</v>
      </c>
      <c r="U37" s="221">
        <v>1.0</v>
      </c>
      <c r="V37" s="2" t="s">
        <v>92</v>
      </c>
      <c r="W37" s="2" t="s">
        <v>667</v>
      </c>
      <c r="X37" s="222"/>
      <c r="Y37" s="221">
        <v>2.0</v>
      </c>
      <c r="Z37" s="221">
        <v>1.0</v>
      </c>
      <c r="AA37" s="223">
        <v>2.0</v>
      </c>
      <c r="AB37" s="223">
        <v>1.0</v>
      </c>
      <c r="AC37" s="223">
        <v>2.0</v>
      </c>
      <c r="AD37" s="223">
        <v>0.0</v>
      </c>
      <c r="AE37" s="224">
        <v>0.0</v>
      </c>
      <c r="AF37" s="174">
        <f t="shared" si="2"/>
        <v>16</v>
      </c>
      <c r="AG37" s="225">
        <f t="shared" ref="AG37:AH37" si="35">14.5-AF37</f>
        <v>-1.5</v>
      </c>
      <c r="AH37" s="225">
        <f t="shared" si="35"/>
        <v>16</v>
      </c>
    </row>
    <row r="38">
      <c r="A38" s="216">
        <v>35.0</v>
      </c>
      <c r="B38" s="62" t="s">
        <v>90</v>
      </c>
      <c r="C38" s="55" t="s">
        <v>99</v>
      </c>
      <c r="D38" s="43" t="s">
        <v>435</v>
      </c>
      <c r="E38" s="43" t="s">
        <v>255</v>
      </c>
      <c r="F38" s="218" t="s">
        <v>92</v>
      </c>
      <c r="G38" s="2" t="s">
        <v>667</v>
      </c>
      <c r="H38" s="222"/>
      <c r="I38" s="221">
        <v>2.0</v>
      </c>
      <c r="J38" s="221">
        <v>2.0</v>
      </c>
      <c r="K38" s="2" t="s">
        <v>92</v>
      </c>
      <c r="L38" s="2" t="s">
        <v>667</v>
      </c>
      <c r="M38" s="222"/>
      <c r="N38" s="221">
        <v>2.0</v>
      </c>
      <c r="O38" s="221">
        <v>2.0</v>
      </c>
      <c r="P38" s="2" t="s">
        <v>92</v>
      </c>
      <c r="Q38" s="2" t="s">
        <v>667</v>
      </c>
      <c r="R38" s="222"/>
      <c r="S38" s="221">
        <v>2.0</v>
      </c>
      <c r="T38" s="221">
        <v>0.0</v>
      </c>
      <c r="U38" s="221">
        <v>2.0</v>
      </c>
      <c r="V38" s="2" t="s">
        <v>92</v>
      </c>
      <c r="W38" s="2" t="s">
        <v>667</v>
      </c>
      <c r="X38" s="222"/>
      <c r="Y38" s="221">
        <v>2.0</v>
      </c>
      <c r="Z38" s="221">
        <v>2.0</v>
      </c>
      <c r="AA38" s="223">
        <v>1.5</v>
      </c>
      <c r="AB38" s="223">
        <v>0.0</v>
      </c>
      <c r="AC38" s="223">
        <v>0.0</v>
      </c>
      <c r="AD38" s="223">
        <v>0.0</v>
      </c>
      <c r="AE38" s="224">
        <v>0.0</v>
      </c>
      <c r="AF38" s="174">
        <f t="shared" si="2"/>
        <v>17.5</v>
      </c>
      <c r="AG38" s="225">
        <f t="shared" ref="AG38:AH38" si="36">14.5-AF38</f>
        <v>-3</v>
      </c>
      <c r="AH38" s="225">
        <f t="shared" si="36"/>
        <v>17.5</v>
      </c>
    </row>
    <row r="39">
      <c r="A39" s="39">
        <v>36.0</v>
      </c>
      <c r="B39" s="62" t="s">
        <v>90</v>
      </c>
      <c r="C39" s="59"/>
      <c r="D39" s="46" t="s">
        <v>261</v>
      </c>
      <c r="E39" s="46" t="s">
        <v>444</v>
      </c>
      <c r="F39" s="218" t="s">
        <v>92</v>
      </c>
      <c r="G39" s="2" t="s">
        <v>667</v>
      </c>
      <c r="H39" s="222"/>
      <c r="I39" s="221">
        <v>2.0</v>
      </c>
      <c r="J39" s="221">
        <v>2.0</v>
      </c>
      <c r="K39" s="2" t="s">
        <v>92</v>
      </c>
      <c r="L39" s="2" t="s">
        <v>667</v>
      </c>
      <c r="M39" s="222"/>
      <c r="N39" s="221">
        <v>2.0</v>
      </c>
      <c r="O39" s="221">
        <v>2.0</v>
      </c>
      <c r="P39" s="2" t="s">
        <v>92</v>
      </c>
      <c r="Q39" s="2" t="s">
        <v>667</v>
      </c>
      <c r="R39" s="222"/>
      <c r="S39" s="221">
        <v>2.0</v>
      </c>
      <c r="T39" s="221">
        <v>2.0</v>
      </c>
      <c r="U39" s="221">
        <v>2.0</v>
      </c>
      <c r="V39" s="167" t="s">
        <v>672</v>
      </c>
      <c r="W39" s="167" t="s">
        <v>673</v>
      </c>
      <c r="X39" s="222"/>
      <c r="Y39" s="221">
        <v>2.0</v>
      </c>
      <c r="Z39" s="221">
        <v>2.0</v>
      </c>
      <c r="AA39" s="223">
        <v>0.0</v>
      </c>
      <c r="AB39" s="223">
        <v>0.0</v>
      </c>
      <c r="AC39" s="223">
        <v>0.0</v>
      </c>
      <c r="AD39" s="223">
        <v>0.0</v>
      </c>
      <c r="AE39" s="224">
        <v>1.0</v>
      </c>
      <c r="AF39" s="174">
        <f t="shared" si="2"/>
        <v>18</v>
      </c>
      <c r="AG39" s="225">
        <f t="shared" ref="AG39:AH39" si="37">14.5-AF39</f>
        <v>-3.5</v>
      </c>
      <c r="AH39" s="225">
        <f t="shared" si="37"/>
        <v>18</v>
      </c>
    </row>
    <row r="40">
      <c r="A40" s="216">
        <v>37.0</v>
      </c>
      <c r="B40" s="62" t="s">
        <v>90</v>
      </c>
      <c r="C40" s="59"/>
      <c r="D40" s="46" t="s">
        <v>270</v>
      </c>
      <c r="E40" s="46" t="s">
        <v>271</v>
      </c>
      <c r="F40" s="218" t="s">
        <v>92</v>
      </c>
      <c r="G40" s="2" t="s">
        <v>667</v>
      </c>
      <c r="H40" s="222"/>
      <c r="I40" s="221">
        <v>2.0</v>
      </c>
      <c r="J40" s="221">
        <v>2.0</v>
      </c>
      <c r="K40" s="2" t="s">
        <v>92</v>
      </c>
      <c r="L40" s="2" t="s">
        <v>667</v>
      </c>
      <c r="M40" s="222"/>
      <c r="N40" s="221">
        <v>2.0</v>
      </c>
      <c r="O40" s="221">
        <v>1.5</v>
      </c>
      <c r="P40" s="167" t="s">
        <v>672</v>
      </c>
      <c r="Q40" s="167" t="s">
        <v>673</v>
      </c>
      <c r="R40" s="222"/>
      <c r="S40" s="221">
        <v>2.0</v>
      </c>
      <c r="T40" s="221">
        <v>2.0</v>
      </c>
      <c r="U40" s="221">
        <v>2.0</v>
      </c>
      <c r="V40" s="2" t="s">
        <v>92</v>
      </c>
      <c r="W40" s="2" t="s">
        <v>667</v>
      </c>
      <c r="X40" s="222"/>
      <c r="Y40" s="221">
        <v>2.0</v>
      </c>
      <c r="Z40" s="221">
        <v>2.0</v>
      </c>
      <c r="AA40" s="223">
        <v>0.0</v>
      </c>
      <c r="AB40" s="223">
        <v>0.0</v>
      </c>
      <c r="AC40" s="223">
        <v>0.0</v>
      </c>
      <c r="AD40" s="223">
        <v>0.0</v>
      </c>
      <c r="AE40" s="224">
        <v>1.0</v>
      </c>
      <c r="AF40" s="174">
        <f t="shared" si="2"/>
        <v>17.5</v>
      </c>
      <c r="AG40" s="225">
        <f t="shared" ref="AG40:AH40" si="38">14.5-AF40</f>
        <v>-3</v>
      </c>
      <c r="AH40" s="225">
        <f t="shared" si="38"/>
        <v>17.5</v>
      </c>
    </row>
    <row r="41">
      <c r="A41" s="39">
        <v>38.0</v>
      </c>
      <c r="B41" s="105" t="s">
        <v>90</v>
      </c>
      <c r="C41" s="68"/>
      <c r="D41" s="70" t="s">
        <v>275</v>
      </c>
      <c r="E41" s="74" t="s">
        <v>277</v>
      </c>
      <c r="F41" s="218" t="s">
        <v>92</v>
      </c>
      <c r="G41" s="2" t="s">
        <v>667</v>
      </c>
      <c r="H41" s="222"/>
      <c r="I41" s="221">
        <v>2.0</v>
      </c>
      <c r="J41" s="221">
        <v>2.0</v>
      </c>
      <c r="K41" s="2" t="s">
        <v>92</v>
      </c>
      <c r="L41" s="2" t="s">
        <v>667</v>
      </c>
      <c r="M41" s="222"/>
      <c r="N41" s="221">
        <v>2.0</v>
      </c>
      <c r="O41" s="221">
        <v>2.0</v>
      </c>
      <c r="P41" s="2" t="s">
        <v>92</v>
      </c>
      <c r="Q41" s="2" t="s">
        <v>667</v>
      </c>
      <c r="R41" s="222"/>
      <c r="S41" s="221">
        <v>2.0</v>
      </c>
      <c r="T41" s="221">
        <v>0.0</v>
      </c>
      <c r="U41" s="221">
        <v>2.0</v>
      </c>
      <c r="V41" s="167" t="s">
        <v>672</v>
      </c>
      <c r="W41" s="167" t="s">
        <v>673</v>
      </c>
      <c r="X41" s="222"/>
      <c r="Y41" s="221">
        <v>2.0</v>
      </c>
      <c r="Z41" s="221">
        <v>2.0</v>
      </c>
      <c r="AA41" s="223">
        <v>2.0</v>
      </c>
      <c r="AB41" s="223">
        <v>0.0</v>
      </c>
      <c r="AC41" s="223">
        <v>0.0</v>
      </c>
      <c r="AD41" s="223">
        <v>0.0</v>
      </c>
      <c r="AE41" s="224">
        <v>1.0</v>
      </c>
      <c r="AF41" s="174">
        <f t="shared" si="2"/>
        <v>18</v>
      </c>
      <c r="AG41" s="225">
        <f t="shared" ref="AG41:AH41" si="39">14.5-AF41</f>
        <v>-3.5</v>
      </c>
      <c r="AH41" s="225">
        <f t="shared" si="39"/>
        <v>18</v>
      </c>
    </row>
    <row r="42">
      <c r="A42" s="216">
        <v>39.0</v>
      </c>
      <c r="B42" s="62" t="s">
        <v>90</v>
      </c>
      <c r="C42" s="59"/>
      <c r="D42" s="43" t="s">
        <v>281</v>
      </c>
      <c r="E42" s="43" t="s">
        <v>282</v>
      </c>
      <c r="F42" s="218" t="s">
        <v>92</v>
      </c>
      <c r="G42" s="2" t="s">
        <v>667</v>
      </c>
      <c r="H42" s="222"/>
      <c r="I42" s="221">
        <v>1.5</v>
      </c>
      <c r="J42" s="221">
        <v>2.0</v>
      </c>
      <c r="K42" s="2" t="s">
        <v>92</v>
      </c>
      <c r="L42" s="2" t="s">
        <v>667</v>
      </c>
      <c r="M42" s="222"/>
      <c r="N42" s="221">
        <v>2.0</v>
      </c>
      <c r="O42" s="221">
        <v>2.0</v>
      </c>
      <c r="P42" s="2" t="s">
        <v>92</v>
      </c>
      <c r="Q42" s="2" t="s">
        <v>667</v>
      </c>
      <c r="R42" s="222"/>
      <c r="S42" s="221">
        <v>2.0</v>
      </c>
      <c r="T42" s="221">
        <v>2.0</v>
      </c>
      <c r="U42" s="221">
        <v>2.0</v>
      </c>
      <c r="V42" s="2" t="s">
        <v>92</v>
      </c>
      <c r="W42" s="2" t="s">
        <v>667</v>
      </c>
      <c r="X42" s="222"/>
      <c r="Y42" s="221">
        <v>1.5</v>
      </c>
      <c r="Z42" s="221">
        <v>2.0</v>
      </c>
      <c r="AA42" s="223">
        <v>2.0</v>
      </c>
      <c r="AB42" s="223">
        <v>0.0</v>
      </c>
      <c r="AC42" s="223">
        <v>0.0</v>
      </c>
      <c r="AD42" s="223">
        <v>0.0</v>
      </c>
      <c r="AE42" s="224">
        <v>0.0</v>
      </c>
      <c r="AF42" s="174">
        <f t="shared" si="2"/>
        <v>19</v>
      </c>
      <c r="AG42" s="225">
        <f t="shared" ref="AG42:AH42" si="40">14.5-AF42</f>
        <v>-4.5</v>
      </c>
      <c r="AH42" s="225">
        <f t="shared" si="40"/>
        <v>19</v>
      </c>
    </row>
    <row r="43">
      <c r="A43" s="39">
        <v>40.0</v>
      </c>
      <c r="B43" s="117" t="s">
        <v>90</v>
      </c>
      <c r="C43" s="113"/>
      <c r="D43" s="115" t="s">
        <v>289</v>
      </c>
      <c r="E43" s="115" t="s">
        <v>246</v>
      </c>
      <c r="F43" s="218" t="s">
        <v>92</v>
      </c>
      <c r="G43" s="2" t="s">
        <v>667</v>
      </c>
      <c r="H43" s="222"/>
      <c r="I43" s="221">
        <v>2.0</v>
      </c>
      <c r="J43" s="221">
        <v>1.0</v>
      </c>
      <c r="K43" s="2" t="s">
        <v>92</v>
      </c>
      <c r="L43" s="2" t="s">
        <v>667</v>
      </c>
      <c r="M43" s="222"/>
      <c r="N43" s="221">
        <v>2.0</v>
      </c>
      <c r="O43" s="221">
        <v>1.0</v>
      </c>
      <c r="P43" s="167" t="s">
        <v>672</v>
      </c>
      <c r="Q43" s="167" t="s">
        <v>673</v>
      </c>
      <c r="R43" s="222"/>
      <c r="S43" s="221">
        <v>2.0</v>
      </c>
      <c r="T43" s="221">
        <v>0.0</v>
      </c>
      <c r="U43" s="221">
        <v>1.0</v>
      </c>
      <c r="V43" s="2" t="s">
        <v>92</v>
      </c>
      <c r="W43" s="2" t="s">
        <v>667</v>
      </c>
      <c r="X43" s="222"/>
      <c r="Y43" s="221">
        <v>2.0</v>
      </c>
      <c r="Z43" s="221">
        <v>1.0</v>
      </c>
      <c r="AA43" s="223">
        <v>2.0</v>
      </c>
      <c r="AB43" s="223">
        <v>1.0</v>
      </c>
      <c r="AC43" s="223">
        <v>2.0</v>
      </c>
      <c r="AD43" s="223">
        <v>0.0</v>
      </c>
      <c r="AE43" s="224">
        <v>1.0</v>
      </c>
      <c r="AF43" s="174">
        <f t="shared" si="2"/>
        <v>17</v>
      </c>
      <c r="AG43" s="225">
        <f t="shared" ref="AG43:AH43" si="41">14.5-AF43</f>
        <v>-2.5</v>
      </c>
      <c r="AH43" s="225">
        <f t="shared" si="41"/>
        <v>17</v>
      </c>
    </row>
    <row r="44">
      <c r="A44" s="216">
        <v>41.0</v>
      </c>
      <c r="B44" s="62" t="s">
        <v>90</v>
      </c>
      <c r="C44" s="59"/>
      <c r="D44" s="46" t="s">
        <v>294</v>
      </c>
      <c r="E44" s="46" t="s">
        <v>295</v>
      </c>
      <c r="F44" s="218" t="s">
        <v>92</v>
      </c>
      <c r="G44" s="2" t="s">
        <v>667</v>
      </c>
      <c r="H44" s="222"/>
      <c r="I44" s="221">
        <v>2.0</v>
      </c>
      <c r="J44" s="221">
        <v>2.0</v>
      </c>
      <c r="K44" s="167" t="s">
        <v>672</v>
      </c>
      <c r="L44" s="167" t="s">
        <v>673</v>
      </c>
      <c r="M44" s="222"/>
      <c r="N44" s="221">
        <v>0.0</v>
      </c>
      <c r="O44" s="221">
        <v>0.0</v>
      </c>
      <c r="P44" s="2" t="s">
        <v>92</v>
      </c>
      <c r="Q44" s="2" t="s">
        <v>667</v>
      </c>
      <c r="R44" s="222"/>
      <c r="S44" s="221">
        <v>2.0</v>
      </c>
      <c r="T44" s="221">
        <v>2.0</v>
      </c>
      <c r="U44" s="221">
        <v>2.0</v>
      </c>
      <c r="V44" s="2" t="s">
        <v>92</v>
      </c>
      <c r="W44" s="2" t="s">
        <v>667</v>
      </c>
      <c r="X44" s="222"/>
      <c r="Y44" s="221">
        <v>2.0</v>
      </c>
      <c r="Z44" s="221">
        <v>2.0</v>
      </c>
      <c r="AA44" s="223">
        <v>0.0</v>
      </c>
      <c r="AB44" s="223">
        <v>0.0</v>
      </c>
      <c r="AC44" s="223">
        <v>0.0</v>
      </c>
      <c r="AD44" s="223">
        <v>0.0</v>
      </c>
      <c r="AE44" s="224">
        <v>1.0</v>
      </c>
      <c r="AF44" s="174">
        <f t="shared" si="2"/>
        <v>14</v>
      </c>
      <c r="AG44" s="225">
        <f t="shared" ref="AG44:AH44" si="42">14.5-AF44</f>
        <v>0.5</v>
      </c>
      <c r="AH44" s="225">
        <f t="shared" si="42"/>
        <v>14</v>
      </c>
    </row>
    <row r="45">
      <c r="A45" s="39">
        <v>42.0</v>
      </c>
      <c r="B45" s="62" t="s">
        <v>90</v>
      </c>
      <c r="C45" s="59"/>
      <c r="D45" s="36" t="s">
        <v>304</v>
      </c>
      <c r="E45" s="36" t="s">
        <v>305</v>
      </c>
      <c r="F45" s="218" t="s">
        <v>92</v>
      </c>
      <c r="G45" s="2" t="s">
        <v>667</v>
      </c>
      <c r="H45" s="222"/>
      <c r="I45" s="221">
        <v>2.0</v>
      </c>
      <c r="J45" s="221">
        <v>2.0</v>
      </c>
      <c r="K45" s="2" t="s">
        <v>92</v>
      </c>
      <c r="L45" s="2" t="s">
        <v>667</v>
      </c>
      <c r="M45" s="222"/>
      <c r="N45" s="221">
        <v>2.0</v>
      </c>
      <c r="O45" s="221">
        <v>2.0</v>
      </c>
      <c r="P45" s="2" t="s">
        <v>92</v>
      </c>
      <c r="Q45" s="2" t="s">
        <v>667</v>
      </c>
      <c r="R45" s="222"/>
      <c r="S45" s="221">
        <v>2.0</v>
      </c>
      <c r="T45" s="221">
        <v>2.0</v>
      </c>
      <c r="U45" s="221">
        <v>2.0</v>
      </c>
      <c r="V45" s="2" t="s">
        <v>92</v>
      </c>
      <c r="W45" s="2" t="s">
        <v>667</v>
      </c>
      <c r="X45" s="222"/>
      <c r="Y45" s="221">
        <v>2.0</v>
      </c>
      <c r="Z45" s="221">
        <v>2.0</v>
      </c>
      <c r="AA45" s="223">
        <v>2.0</v>
      </c>
      <c r="AB45" s="223">
        <v>0.0</v>
      </c>
      <c r="AC45" s="223">
        <v>0.0</v>
      </c>
      <c r="AD45" s="223">
        <v>0.0</v>
      </c>
      <c r="AE45" s="224">
        <v>0.0</v>
      </c>
      <c r="AF45" s="174">
        <f t="shared" si="2"/>
        <v>20</v>
      </c>
      <c r="AG45" s="225">
        <f t="shared" ref="AG45:AH45" si="43">14.5-AF45</f>
        <v>-5.5</v>
      </c>
      <c r="AH45" s="225">
        <f t="shared" si="43"/>
        <v>20</v>
      </c>
    </row>
    <row r="46">
      <c r="A46" s="216">
        <v>43.0</v>
      </c>
      <c r="B46" s="62" t="s">
        <v>90</v>
      </c>
      <c r="C46" s="55" t="s">
        <v>99</v>
      </c>
      <c r="D46" s="46" t="s">
        <v>313</v>
      </c>
      <c r="E46" s="46" t="s">
        <v>315</v>
      </c>
      <c r="F46" s="218" t="s">
        <v>92</v>
      </c>
      <c r="G46" s="2" t="s">
        <v>667</v>
      </c>
      <c r="H46" s="222"/>
      <c r="I46" s="221">
        <v>2.0</v>
      </c>
      <c r="J46" s="221">
        <v>2.0</v>
      </c>
      <c r="K46" s="2" t="s">
        <v>92</v>
      </c>
      <c r="L46" s="2" t="s">
        <v>667</v>
      </c>
      <c r="M46" s="222"/>
      <c r="N46" s="221">
        <v>2.0</v>
      </c>
      <c r="O46" s="221">
        <v>2.0</v>
      </c>
      <c r="P46" s="2" t="s">
        <v>92</v>
      </c>
      <c r="Q46" s="2" t="s">
        <v>667</v>
      </c>
      <c r="R46" s="222"/>
      <c r="S46" s="221">
        <v>2.0</v>
      </c>
      <c r="T46" s="221">
        <v>0.0</v>
      </c>
      <c r="U46" s="221">
        <v>2.0</v>
      </c>
      <c r="V46" s="2" t="s">
        <v>92</v>
      </c>
      <c r="W46" s="2" t="s">
        <v>667</v>
      </c>
      <c r="X46" s="222"/>
      <c r="Y46" s="221">
        <v>2.0</v>
      </c>
      <c r="Z46" s="221">
        <v>2.0</v>
      </c>
      <c r="AA46" s="223">
        <v>2.0</v>
      </c>
      <c r="AB46" s="223">
        <v>0.0</v>
      </c>
      <c r="AC46" s="223">
        <v>0.0</v>
      </c>
      <c r="AD46" s="223">
        <v>0.0</v>
      </c>
      <c r="AE46" s="224">
        <v>0.0</v>
      </c>
      <c r="AF46" s="174">
        <f t="shared" si="2"/>
        <v>18</v>
      </c>
      <c r="AG46" s="225">
        <f t="shared" ref="AG46:AH46" si="44">14.5-AF46</f>
        <v>-3.5</v>
      </c>
      <c r="AH46" s="225">
        <f t="shared" si="44"/>
        <v>18</v>
      </c>
    </row>
    <row r="47">
      <c r="A47" s="39">
        <v>44.0</v>
      </c>
      <c r="B47" s="62" t="s">
        <v>90</v>
      </c>
      <c r="C47" s="59"/>
      <c r="D47" s="46" t="s">
        <v>328</v>
      </c>
      <c r="E47" s="46" t="s">
        <v>321</v>
      </c>
      <c r="F47" s="218" t="s">
        <v>92</v>
      </c>
      <c r="G47" s="2" t="s">
        <v>667</v>
      </c>
      <c r="H47" s="222"/>
      <c r="I47" s="221">
        <v>2.0</v>
      </c>
      <c r="J47" s="221">
        <v>2.0</v>
      </c>
      <c r="K47" s="2" t="s">
        <v>92</v>
      </c>
      <c r="L47" s="2" t="s">
        <v>667</v>
      </c>
      <c r="M47" s="221" t="s">
        <v>689</v>
      </c>
      <c r="N47" s="221">
        <v>1.5</v>
      </c>
      <c r="O47" s="221">
        <v>2.0</v>
      </c>
      <c r="P47" s="2" t="s">
        <v>92</v>
      </c>
      <c r="Q47" s="2" t="s">
        <v>667</v>
      </c>
      <c r="R47" s="222"/>
      <c r="S47" s="221">
        <v>2.0</v>
      </c>
      <c r="T47" s="221">
        <v>2.0</v>
      </c>
      <c r="U47" s="221">
        <v>2.0</v>
      </c>
      <c r="V47" s="167" t="s">
        <v>672</v>
      </c>
      <c r="W47" s="167" t="s">
        <v>673</v>
      </c>
      <c r="X47" s="222"/>
      <c r="Y47" s="221">
        <v>2.0</v>
      </c>
      <c r="Z47" s="221">
        <v>2.0</v>
      </c>
      <c r="AA47" s="223">
        <v>2.0</v>
      </c>
      <c r="AB47" s="223">
        <v>0.0</v>
      </c>
      <c r="AC47" s="223">
        <v>0.0</v>
      </c>
      <c r="AD47" s="223">
        <v>0.0</v>
      </c>
      <c r="AE47" s="224">
        <v>1.0</v>
      </c>
      <c r="AF47" s="174">
        <f t="shared" si="2"/>
        <v>19.5</v>
      </c>
      <c r="AG47" s="225">
        <f t="shared" ref="AG47:AH47" si="45">14.5-AF47</f>
        <v>-5</v>
      </c>
      <c r="AH47" s="225">
        <f t="shared" si="45"/>
        <v>19.5</v>
      </c>
    </row>
    <row r="48">
      <c r="A48" s="216">
        <v>45.0</v>
      </c>
      <c r="B48" s="62" t="s">
        <v>90</v>
      </c>
      <c r="C48" s="59"/>
      <c r="D48" s="46" t="s">
        <v>337</v>
      </c>
      <c r="E48" s="46" t="s">
        <v>488</v>
      </c>
      <c r="F48" s="218" t="s">
        <v>92</v>
      </c>
      <c r="G48" s="2" t="s">
        <v>667</v>
      </c>
      <c r="H48" s="222"/>
      <c r="I48" s="221">
        <v>2.0</v>
      </c>
      <c r="J48" s="221">
        <v>2.0</v>
      </c>
      <c r="K48" s="2" t="s">
        <v>92</v>
      </c>
      <c r="L48" s="2" t="s">
        <v>667</v>
      </c>
      <c r="M48" s="222"/>
      <c r="N48" s="221">
        <v>2.0</v>
      </c>
      <c r="O48" s="221">
        <v>1.5</v>
      </c>
      <c r="P48" s="2" t="s">
        <v>92</v>
      </c>
      <c r="Q48" s="2" t="s">
        <v>667</v>
      </c>
      <c r="R48" s="222"/>
      <c r="S48" s="221">
        <v>2.0</v>
      </c>
      <c r="T48" s="221">
        <v>2.0</v>
      </c>
      <c r="U48" s="221">
        <v>2.0</v>
      </c>
      <c r="V48" s="2" t="s">
        <v>92</v>
      </c>
      <c r="W48" s="2" t="s">
        <v>667</v>
      </c>
      <c r="X48" s="222"/>
      <c r="Y48" s="221">
        <v>2.0</v>
      </c>
      <c r="Z48" s="221">
        <v>2.0</v>
      </c>
      <c r="AA48" s="223">
        <v>2.0</v>
      </c>
      <c r="AB48" s="223">
        <v>0.0</v>
      </c>
      <c r="AC48" s="223">
        <v>0.0</v>
      </c>
      <c r="AD48" s="223">
        <v>0.0</v>
      </c>
      <c r="AE48" s="224">
        <v>0.0</v>
      </c>
      <c r="AF48" s="174">
        <f t="shared" si="2"/>
        <v>19.5</v>
      </c>
      <c r="AG48" s="225">
        <f t="shared" ref="AG48:AH48" si="46">14.5-AF48</f>
        <v>-5</v>
      </c>
      <c r="AH48" s="225">
        <f t="shared" si="46"/>
        <v>19.5</v>
      </c>
    </row>
    <row r="49">
      <c r="A49" s="39">
        <v>46.0</v>
      </c>
      <c r="B49" s="62" t="s">
        <v>90</v>
      </c>
      <c r="C49" s="55" t="s">
        <v>99</v>
      </c>
      <c r="D49" s="46" t="s">
        <v>343</v>
      </c>
      <c r="E49" s="46" t="s">
        <v>166</v>
      </c>
      <c r="F49" s="218" t="s">
        <v>92</v>
      </c>
      <c r="G49" s="2" t="s">
        <v>667</v>
      </c>
      <c r="H49" s="222"/>
      <c r="I49" s="221">
        <v>2.0</v>
      </c>
      <c r="J49" s="221">
        <v>2.0</v>
      </c>
      <c r="K49" s="2" t="s">
        <v>92</v>
      </c>
      <c r="L49" s="2" t="s">
        <v>667</v>
      </c>
      <c r="M49" s="222"/>
      <c r="N49" s="221">
        <v>2.0</v>
      </c>
      <c r="O49" s="221">
        <v>2.0</v>
      </c>
      <c r="P49" s="2" t="s">
        <v>92</v>
      </c>
      <c r="Q49" s="2" t="s">
        <v>667</v>
      </c>
      <c r="R49" s="222"/>
      <c r="S49" s="221">
        <v>2.0</v>
      </c>
      <c r="T49" s="221">
        <v>0.0</v>
      </c>
      <c r="U49" s="221">
        <v>2.0</v>
      </c>
      <c r="V49" s="2" t="s">
        <v>92</v>
      </c>
      <c r="W49" s="2" t="s">
        <v>667</v>
      </c>
      <c r="X49" s="222"/>
      <c r="Y49" s="221">
        <v>0.0</v>
      </c>
      <c r="Z49" s="221">
        <v>2.0</v>
      </c>
      <c r="AA49" s="223">
        <v>0.0</v>
      </c>
      <c r="AB49" s="223">
        <v>0.0</v>
      </c>
      <c r="AC49" s="223">
        <v>0.0</v>
      </c>
      <c r="AD49" s="223">
        <v>0.0</v>
      </c>
      <c r="AE49" s="224">
        <v>0.0</v>
      </c>
      <c r="AF49" s="174">
        <f t="shared" si="2"/>
        <v>14</v>
      </c>
      <c r="AG49" s="225">
        <f t="shared" ref="AG49:AH49" si="47">14.5-AF49</f>
        <v>0.5</v>
      </c>
      <c r="AH49" s="225">
        <f t="shared" si="47"/>
        <v>14</v>
      </c>
    </row>
    <row r="50">
      <c r="A50" s="216">
        <v>47.0</v>
      </c>
      <c r="B50" s="62" t="s">
        <v>90</v>
      </c>
      <c r="C50" s="59"/>
      <c r="D50" s="46" t="s">
        <v>352</v>
      </c>
      <c r="E50" s="46" t="s">
        <v>353</v>
      </c>
      <c r="F50" s="218" t="s">
        <v>92</v>
      </c>
      <c r="G50" s="2" t="s">
        <v>667</v>
      </c>
      <c r="H50" s="222"/>
      <c r="I50" s="221">
        <v>2.0</v>
      </c>
      <c r="J50" s="221">
        <v>2.0</v>
      </c>
      <c r="K50" s="2" t="s">
        <v>92</v>
      </c>
      <c r="L50" s="2" t="s">
        <v>667</v>
      </c>
      <c r="M50" s="222"/>
      <c r="N50" s="221">
        <v>2.0</v>
      </c>
      <c r="O50" s="221">
        <v>2.0</v>
      </c>
      <c r="P50" s="2" t="s">
        <v>92</v>
      </c>
      <c r="Q50" s="2" t="s">
        <v>667</v>
      </c>
      <c r="R50" s="222"/>
      <c r="S50" s="221">
        <v>2.0</v>
      </c>
      <c r="T50" s="221">
        <v>2.0</v>
      </c>
      <c r="U50" s="221">
        <v>2.0</v>
      </c>
      <c r="V50" s="2" t="s">
        <v>92</v>
      </c>
      <c r="W50" s="2" t="s">
        <v>667</v>
      </c>
      <c r="X50" s="222"/>
      <c r="Y50" s="221">
        <v>2.0</v>
      </c>
      <c r="Z50" s="221">
        <v>2.0</v>
      </c>
      <c r="AA50" s="223">
        <v>2.0</v>
      </c>
      <c r="AB50" s="223">
        <v>0.0</v>
      </c>
      <c r="AC50" s="223">
        <v>0.0</v>
      </c>
      <c r="AD50" s="223">
        <v>0.0</v>
      </c>
      <c r="AE50" s="224">
        <v>0.0</v>
      </c>
      <c r="AF50" s="174">
        <f t="shared" si="2"/>
        <v>20</v>
      </c>
      <c r="AG50" s="225">
        <f t="shared" ref="AG50:AH50" si="48">14.5-AF50</f>
        <v>-5.5</v>
      </c>
      <c r="AH50" s="225">
        <f t="shared" si="48"/>
        <v>20</v>
      </c>
    </row>
    <row r="51">
      <c r="A51" s="39">
        <v>48.0</v>
      </c>
      <c r="B51" s="62" t="s">
        <v>90</v>
      </c>
      <c r="C51" s="59"/>
      <c r="D51" s="36" t="s">
        <v>363</v>
      </c>
      <c r="E51" s="36" t="s">
        <v>364</v>
      </c>
      <c r="F51" s="218" t="s">
        <v>92</v>
      </c>
      <c r="G51" s="2" t="s">
        <v>667</v>
      </c>
      <c r="H51" s="222"/>
      <c r="I51" s="221">
        <v>0.0</v>
      </c>
      <c r="J51" s="221">
        <v>2.0</v>
      </c>
      <c r="K51" s="167" t="s">
        <v>672</v>
      </c>
      <c r="L51" s="167" t="s">
        <v>673</v>
      </c>
      <c r="M51" s="222"/>
      <c r="N51" s="221">
        <v>2.0</v>
      </c>
      <c r="O51" s="221">
        <v>2.0</v>
      </c>
      <c r="P51" s="2" t="s">
        <v>92</v>
      </c>
      <c r="Q51" s="2" t="s">
        <v>667</v>
      </c>
      <c r="R51" s="222"/>
      <c r="S51" s="221">
        <v>2.0</v>
      </c>
      <c r="T51" s="221">
        <v>2.0</v>
      </c>
      <c r="U51" s="221">
        <v>2.0</v>
      </c>
      <c r="V51" s="2" t="s">
        <v>92</v>
      </c>
      <c r="W51" s="2" t="s">
        <v>667</v>
      </c>
      <c r="X51" s="222"/>
      <c r="Y51" s="221">
        <v>2.0</v>
      </c>
      <c r="Z51" s="221">
        <v>2.0</v>
      </c>
      <c r="AA51" s="223">
        <v>0.0</v>
      </c>
      <c r="AB51" s="223">
        <v>0.0</v>
      </c>
      <c r="AC51" s="223">
        <v>0.0</v>
      </c>
      <c r="AD51" s="223">
        <v>0.0</v>
      </c>
      <c r="AE51" s="224">
        <v>1.0</v>
      </c>
      <c r="AF51" s="174">
        <f t="shared" si="2"/>
        <v>16</v>
      </c>
      <c r="AG51" s="225">
        <f t="shared" ref="AG51:AH51" si="49">14.5-AF51</f>
        <v>-1.5</v>
      </c>
      <c r="AH51" s="225">
        <f t="shared" si="49"/>
        <v>16</v>
      </c>
    </row>
    <row r="52">
      <c r="A52" s="216">
        <v>49.0</v>
      </c>
      <c r="B52" s="62" t="s">
        <v>90</v>
      </c>
      <c r="C52" s="59"/>
      <c r="D52" s="46" t="s">
        <v>372</v>
      </c>
      <c r="E52" s="46" t="s">
        <v>373</v>
      </c>
      <c r="F52" s="218" t="s">
        <v>92</v>
      </c>
      <c r="G52" s="2" t="s">
        <v>667</v>
      </c>
      <c r="H52" s="222"/>
      <c r="I52" s="221">
        <v>2.0</v>
      </c>
      <c r="J52" s="221">
        <v>2.0</v>
      </c>
      <c r="K52" s="2" t="s">
        <v>92</v>
      </c>
      <c r="L52" s="2" t="s">
        <v>667</v>
      </c>
      <c r="M52" s="222"/>
      <c r="N52" s="221">
        <v>2.0</v>
      </c>
      <c r="O52" s="221">
        <v>2.0</v>
      </c>
      <c r="P52" s="2" t="s">
        <v>92</v>
      </c>
      <c r="Q52" s="2" t="s">
        <v>667</v>
      </c>
      <c r="R52" s="222"/>
      <c r="S52" s="221">
        <v>2.0</v>
      </c>
      <c r="T52" s="221">
        <v>2.0</v>
      </c>
      <c r="U52" s="221">
        <v>2.0</v>
      </c>
      <c r="V52" s="2" t="s">
        <v>92</v>
      </c>
      <c r="W52" s="2" t="s">
        <v>667</v>
      </c>
      <c r="X52" s="222"/>
      <c r="Y52" s="221">
        <v>2.0</v>
      </c>
      <c r="Z52" s="221">
        <v>2.0</v>
      </c>
      <c r="AA52" s="223">
        <v>0.0</v>
      </c>
      <c r="AB52" s="223">
        <v>0.0</v>
      </c>
      <c r="AC52" s="223">
        <v>0.0</v>
      </c>
      <c r="AD52" s="223">
        <v>0.0</v>
      </c>
      <c r="AE52" s="224">
        <v>0.0</v>
      </c>
      <c r="AF52" s="174">
        <f t="shared" si="2"/>
        <v>18</v>
      </c>
      <c r="AG52" s="225">
        <f t="shared" ref="AG52:AH52" si="50">14.5-AF52</f>
        <v>-3.5</v>
      </c>
      <c r="AH52" s="225">
        <f t="shared" si="50"/>
        <v>18</v>
      </c>
    </row>
    <row r="53">
      <c r="A53" s="39">
        <v>50.0</v>
      </c>
      <c r="B53" s="62" t="s">
        <v>90</v>
      </c>
      <c r="C53" s="59"/>
      <c r="D53" s="46" t="s">
        <v>378</v>
      </c>
      <c r="E53" s="46" t="s">
        <v>380</v>
      </c>
      <c r="F53" s="218" t="s">
        <v>92</v>
      </c>
      <c r="G53" s="2" t="s">
        <v>667</v>
      </c>
      <c r="H53" s="222"/>
      <c r="I53" s="221">
        <v>2.0</v>
      </c>
      <c r="J53" s="221">
        <v>2.0</v>
      </c>
      <c r="K53" s="2" t="s">
        <v>92</v>
      </c>
      <c r="L53" s="2" t="s">
        <v>667</v>
      </c>
      <c r="M53" s="222"/>
      <c r="N53" s="221">
        <v>2.0</v>
      </c>
      <c r="O53" s="221">
        <v>2.0</v>
      </c>
      <c r="P53" s="2" t="s">
        <v>92</v>
      </c>
      <c r="Q53" s="2" t="s">
        <v>667</v>
      </c>
      <c r="R53" s="222"/>
      <c r="S53" s="221">
        <v>2.0</v>
      </c>
      <c r="T53" s="221">
        <v>2.0</v>
      </c>
      <c r="U53" s="221">
        <v>2.0</v>
      </c>
      <c r="V53" s="2" t="s">
        <v>92</v>
      </c>
      <c r="W53" s="2" t="s">
        <v>667</v>
      </c>
      <c r="X53" s="222"/>
      <c r="Y53" s="221">
        <v>2.0</v>
      </c>
      <c r="Z53" s="221">
        <v>2.0</v>
      </c>
      <c r="AA53" s="223">
        <v>0.0</v>
      </c>
      <c r="AB53" s="223">
        <v>0.0</v>
      </c>
      <c r="AC53" s="223">
        <v>0.0</v>
      </c>
      <c r="AD53" s="223">
        <v>0.0</v>
      </c>
      <c r="AE53" s="224">
        <v>0.0</v>
      </c>
      <c r="AF53" s="174">
        <f t="shared" si="2"/>
        <v>18</v>
      </c>
      <c r="AG53" s="225">
        <f t="shared" ref="AG53:AH53" si="51">14.5-AF53</f>
        <v>-3.5</v>
      </c>
      <c r="AH53" s="225">
        <f t="shared" si="51"/>
        <v>18</v>
      </c>
    </row>
    <row r="54">
      <c r="A54" s="216">
        <v>51.0</v>
      </c>
      <c r="B54" s="62" t="s">
        <v>90</v>
      </c>
      <c r="C54" s="59"/>
      <c r="D54" s="46" t="s">
        <v>382</v>
      </c>
      <c r="E54" s="46" t="s">
        <v>527</v>
      </c>
      <c r="F54" s="218" t="s">
        <v>92</v>
      </c>
      <c r="G54" s="2" t="s">
        <v>667</v>
      </c>
      <c r="H54" s="222"/>
      <c r="I54" s="221">
        <v>2.0</v>
      </c>
      <c r="J54" s="221">
        <v>2.0</v>
      </c>
      <c r="K54" s="2" t="s">
        <v>92</v>
      </c>
      <c r="L54" s="2" t="s">
        <v>667</v>
      </c>
      <c r="M54" s="222"/>
      <c r="N54" s="221">
        <v>2.0</v>
      </c>
      <c r="O54" s="221">
        <v>2.0</v>
      </c>
      <c r="P54" s="2" t="s">
        <v>92</v>
      </c>
      <c r="Q54" s="2" t="s">
        <v>667</v>
      </c>
      <c r="R54" s="222"/>
      <c r="S54" s="221">
        <v>2.0</v>
      </c>
      <c r="T54" s="221">
        <v>2.0</v>
      </c>
      <c r="U54" s="221">
        <v>2.0</v>
      </c>
      <c r="V54" s="2" t="s">
        <v>92</v>
      </c>
      <c r="W54" s="2" t="s">
        <v>667</v>
      </c>
      <c r="X54" s="222"/>
      <c r="Y54" s="221">
        <v>2.0</v>
      </c>
      <c r="Z54" s="221">
        <v>2.0</v>
      </c>
      <c r="AA54" s="223">
        <v>0.0</v>
      </c>
      <c r="AB54" s="223">
        <v>0.0</v>
      </c>
      <c r="AC54" s="223">
        <v>0.0</v>
      </c>
      <c r="AD54" s="223">
        <v>0.0</v>
      </c>
      <c r="AE54" s="224">
        <v>0.0</v>
      </c>
      <c r="AF54" s="174">
        <f t="shared" si="2"/>
        <v>18</v>
      </c>
      <c r="AG54" s="225">
        <f t="shared" ref="AG54:AH54" si="52">14.5-AF54</f>
        <v>-3.5</v>
      </c>
      <c r="AH54" s="225">
        <f t="shared" si="52"/>
        <v>18</v>
      </c>
    </row>
    <row r="55">
      <c r="A55" s="39">
        <v>52.0</v>
      </c>
      <c r="B55" s="62" t="s">
        <v>90</v>
      </c>
      <c r="C55" s="59"/>
      <c r="D55" s="29" t="s">
        <v>386</v>
      </c>
      <c r="E55" s="29" t="s">
        <v>387</v>
      </c>
      <c r="F55" s="218" t="s">
        <v>92</v>
      </c>
      <c r="G55" s="2" t="s">
        <v>667</v>
      </c>
      <c r="H55" s="222"/>
      <c r="I55" s="221">
        <v>0.0</v>
      </c>
      <c r="J55" s="221">
        <v>2.0</v>
      </c>
      <c r="K55" s="2" t="s">
        <v>92</v>
      </c>
      <c r="L55" s="2" t="s">
        <v>667</v>
      </c>
      <c r="M55" s="222"/>
      <c r="N55" s="221">
        <v>2.0</v>
      </c>
      <c r="O55" s="221">
        <v>2.0</v>
      </c>
      <c r="P55" s="2" t="s">
        <v>92</v>
      </c>
      <c r="Q55" s="2" t="s">
        <v>667</v>
      </c>
      <c r="R55" s="222"/>
      <c r="S55" s="221">
        <v>2.0</v>
      </c>
      <c r="T55" s="221">
        <v>2.0</v>
      </c>
      <c r="U55" s="221">
        <v>2.0</v>
      </c>
      <c r="V55" s="2" t="s">
        <v>92</v>
      </c>
      <c r="W55" s="2" t="s">
        <v>667</v>
      </c>
      <c r="X55" s="222"/>
      <c r="Y55" s="221">
        <v>2.0</v>
      </c>
      <c r="Z55" s="221">
        <v>2.0</v>
      </c>
      <c r="AA55" s="223">
        <v>0.0</v>
      </c>
      <c r="AB55" s="223">
        <v>0.0</v>
      </c>
      <c r="AC55" s="223">
        <v>0.0</v>
      </c>
      <c r="AD55" s="223">
        <v>0.0</v>
      </c>
      <c r="AE55" s="224">
        <v>0.0</v>
      </c>
      <c r="AF55" s="174">
        <f t="shared" si="2"/>
        <v>16</v>
      </c>
      <c r="AG55" s="225">
        <f t="shared" ref="AG55:AH55" si="53">14.5-AF55</f>
        <v>-1.5</v>
      </c>
      <c r="AH55" s="225">
        <f t="shared" si="53"/>
        <v>16</v>
      </c>
    </row>
    <row r="56">
      <c r="A56" s="216">
        <v>53.0</v>
      </c>
      <c r="B56" s="121" t="s">
        <v>90</v>
      </c>
      <c r="C56" s="57"/>
      <c r="D56" s="46" t="s">
        <v>390</v>
      </c>
      <c r="E56" s="46" t="s">
        <v>391</v>
      </c>
      <c r="F56" s="219" t="s">
        <v>672</v>
      </c>
      <c r="G56" s="167" t="s">
        <v>673</v>
      </c>
      <c r="H56" s="222"/>
      <c r="I56" s="221">
        <v>0.0</v>
      </c>
      <c r="J56" s="221">
        <v>0.0</v>
      </c>
      <c r="K56" s="167" t="s">
        <v>672</v>
      </c>
      <c r="L56" s="167" t="s">
        <v>673</v>
      </c>
      <c r="M56" s="222"/>
      <c r="N56" s="221">
        <v>0.0</v>
      </c>
      <c r="O56" s="221">
        <v>0.0</v>
      </c>
      <c r="P56" s="2" t="s">
        <v>92</v>
      </c>
      <c r="Q56" s="2" t="s">
        <v>667</v>
      </c>
      <c r="R56" s="222"/>
      <c r="S56" s="221">
        <v>2.0</v>
      </c>
      <c r="T56" s="221">
        <v>2.0</v>
      </c>
      <c r="U56" s="221">
        <v>2.0</v>
      </c>
      <c r="V56" s="2" t="s">
        <v>92</v>
      </c>
      <c r="W56" s="2" t="s">
        <v>667</v>
      </c>
      <c r="X56" s="222"/>
      <c r="Y56" s="221">
        <v>2.0</v>
      </c>
      <c r="Z56" s="221">
        <v>2.0</v>
      </c>
      <c r="AA56" s="223">
        <v>2.0</v>
      </c>
      <c r="AB56" s="223">
        <v>0.0</v>
      </c>
      <c r="AC56" s="223">
        <v>0.0</v>
      </c>
      <c r="AD56" s="223">
        <v>0.0</v>
      </c>
      <c r="AE56" s="224">
        <v>2.0</v>
      </c>
      <c r="AF56" s="174">
        <f t="shared" si="2"/>
        <v>12</v>
      </c>
      <c r="AG56" s="225">
        <f t="shared" ref="AG56:AH56" si="54">14.5-AF56</f>
        <v>2.5</v>
      </c>
      <c r="AH56" s="225">
        <f t="shared" si="54"/>
        <v>12</v>
      </c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67" t="s">
        <v>690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>
      <c r="A64" s="2"/>
      <c r="B64" s="2"/>
      <c r="C64" s="2"/>
      <c r="D64" s="2"/>
      <c r="E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>
      <c r="A65" s="2"/>
      <c r="B65" s="2"/>
      <c r="C65" s="2"/>
      <c r="D65" s="2"/>
      <c r="E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>
      <c r="A66" s="2"/>
      <c r="B66" s="2"/>
      <c r="C66" s="2"/>
      <c r="D66" s="2"/>
      <c r="E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>
      <c r="A67" s="2"/>
      <c r="B67" s="2"/>
      <c r="C67" s="2"/>
      <c r="D67" s="2"/>
      <c r="E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>
      <c r="A68" s="2"/>
      <c r="B68" s="2"/>
      <c r="C68" s="2"/>
      <c r="D68" s="2"/>
      <c r="E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>
      <c r="A69" s="2"/>
      <c r="B69" s="2"/>
      <c r="C69" s="2"/>
      <c r="D69" s="2"/>
      <c r="E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>
      <c r="A70" s="2"/>
      <c r="B70" s="2"/>
      <c r="C70" s="2"/>
      <c r="D70" s="2"/>
      <c r="E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>
      <c r="A71" s="2"/>
      <c r="B71" s="2"/>
      <c r="C71" s="2"/>
      <c r="D71" s="2"/>
      <c r="E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>
      <c r="A72" s="2"/>
      <c r="B72" s="2"/>
      <c r="C72" s="2"/>
      <c r="D72" s="2"/>
      <c r="E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>
      <c r="A73" s="2"/>
      <c r="B73" s="2"/>
      <c r="C73" s="2"/>
      <c r="D73" s="2"/>
      <c r="E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>
      <c r="A74" s="2"/>
      <c r="B74" s="2"/>
      <c r="C74" s="2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>
      <c r="A75" s="2"/>
      <c r="B75" s="2"/>
      <c r="C75" s="2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>
      <c r="A76" s="2"/>
      <c r="B76" s="2"/>
      <c r="C76" s="2"/>
      <c r="D76" s="2"/>
      <c r="E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>
      <c r="A77" s="2"/>
      <c r="B77" s="2"/>
      <c r="C77" s="2"/>
      <c r="D77" s="2"/>
      <c r="E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>
      <c r="A78" s="2"/>
      <c r="B78" s="2"/>
      <c r="C78" s="2"/>
      <c r="D78" s="2"/>
      <c r="E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>
      <c r="A79" s="2"/>
      <c r="B79" s="2"/>
      <c r="C79" s="2"/>
      <c r="D79" s="2"/>
      <c r="E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>
      <c r="A80" s="2"/>
      <c r="B80" s="2"/>
      <c r="C80" s="2"/>
      <c r="D80" s="2"/>
      <c r="E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>
      <c r="A81" s="2"/>
      <c r="B81" s="2"/>
      <c r="C81" s="2"/>
      <c r="D81" s="2"/>
      <c r="E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>
      <c r="A82" s="2"/>
      <c r="B82" s="2"/>
      <c r="C82" s="2"/>
      <c r="D82" s="2"/>
      <c r="E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>
      <c r="A83" s="2"/>
      <c r="B83" s="2"/>
      <c r="C83" s="2"/>
      <c r="D83" s="2"/>
      <c r="E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>
      <c r="A84" s="2"/>
      <c r="B84" s="2"/>
      <c r="C84" s="2"/>
      <c r="D84" s="2"/>
      <c r="E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>
      <c r="A85" s="2"/>
      <c r="B85" s="2"/>
      <c r="C85" s="2"/>
      <c r="D85" s="2"/>
      <c r="E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>
      <c r="A86" s="2"/>
      <c r="B86" s="2"/>
      <c r="C86" s="2"/>
      <c r="D86" s="2"/>
      <c r="E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>
      <c r="A87" s="2"/>
      <c r="B87" s="2"/>
      <c r="C87" s="2"/>
      <c r="D87" s="2"/>
      <c r="E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>
      <c r="A88" s="2"/>
      <c r="B88" s="2"/>
      <c r="C88" s="2"/>
      <c r="D88" s="2"/>
      <c r="E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>
      <c r="A89" s="2"/>
      <c r="B89" s="2"/>
      <c r="C89" s="2"/>
      <c r="D89" s="2"/>
      <c r="E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>
      <c r="A90" s="2"/>
      <c r="B90" s="2"/>
      <c r="C90" s="2"/>
      <c r="D90" s="2"/>
      <c r="E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>
      <c r="A91" s="2"/>
      <c r="B91" s="2"/>
      <c r="C91" s="2"/>
      <c r="D91" s="2"/>
      <c r="E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>
      <c r="A92" s="2"/>
      <c r="B92" s="2"/>
      <c r="C92" s="2"/>
      <c r="D92" s="2"/>
      <c r="E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>
      <c r="A93" s="2"/>
      <c r="B93" s="2"/>
      <c r="C93" s="2"/>
      <c r="D93" s="2"/>
      <c r="E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>
      <c r="A94" s="2"/>
      <c r="B94" s="2"/>
      <c r="C94" s="2"/>
      <c r="D94" s="2"/>
      <c r="E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>
      <c r="A95" s="2"/>
      <c r="B95" s="2"/>
      <c r="C95" s="2"/>
      <c r="D95" s="2"/>
      <c r="E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>
      <c r="A96" s="2"/>
      <c r="B96" s="2"/>
      <c r="C96" s="2"/>
      <c r="D96" s="2"/>
      <c r="E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>
      <c r="A97" s="2"/>
      <c r="B97" s="2"/>
      <c r="C97" s="2"/>
      <c r="D97" s="2"/>
      <c r="E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>
      <c r="A98" s="2"/>
      <c r="B98" s="2"/>
      <c r="C98" s="2"/>
      <c r="D98" s="2"/>
      <c r="E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>
      <c r="A99" s="2"/>
      <c r="B99" s="2"/>
      <c r="C99" s="2"/>
      <c r="D99" s="2"/>
      <c r="E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>
      <c r="A100" s="2"/>
      <c r="B100" s="2"/>
      <c r="C100" s="2"/>
      <c r="D100" s="2"/>
      <c r="E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>
      <c r="A101" s="2"/>
      <c r="B101" s="2"/>
      <c r="C101" s="2"/>
      <c r="D101" s="2"/>
      <c r="E101" s="2"/>
      <c r="F101" s="16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</sheetData>
  <mergeCells count="7">
    <mergeCell ref="F1:AA1"/>
    <mergeCell ref="I2:J2"/>
    <mergeCell ref="N2:O2"/>
    <mergeCell ref="S2:U2"/>
    <mergeCell ref="Y2:Z2"/>
    <mergeCell ref="AA2:AB2"/>
    <mergeCell ref="AC2:AD2"/>
  </mergeCells>
  <dataValidations>
    <dataValidation type="list" allowBlank="1" showErrorMessage="1" sqref="G4:G56 L4:L56 Q4:Q56 W4:W56">
      <formula1>"Online/permission granted,In class,Group Assignment,Absent,Online/Sick,Online/ NO permission ,Public Holiday,In class/Lesson not attended in full,Reported absent"</formula1>
    </dataValidation>
    <dataValidation type="list" allowBlank="1" showErrorMessage="1" sqref="F4:F56 K4:K56 P4:P56 V4:V56">
      <formula1>"Yes,No "</formula1>
    </dataValidation>
    <dataValidation type="list" allowBlank="1" showErrorMessage="1" sqref="AE4:AE56">
      <formula1>"0,1,2,3,4"</formula1>
    </dataValidation>
    <dataValidation type="list" allowBlank="1" showErrorMessage="1" sqref="I4:J56 N4:O56 S4:U56 Y4:AD56">
      <formula1>"0,2,1.5,1,0.5"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5.63"/>
    <col customWidth="1" min="2" max="2" width="9.25"/>
    <col customWidth="1" min="3" max="3" width="8.63"/>
    <col customWidth="1" min="5" max="5" width="16.5"/>
    <col customWidth="1" min="7" max="7" width="12.75"/>
    <col customWidth="1" min="8" max="8" width="22.38"/>
    <col customWidth="1" min="13" max="13" width="24.88"/>
    <col customWidth="1" min="18" max="18" width="28.25"/>
    <col customWidth="1" min="23" max="23" width="24.75"/>
  </cols>
  <sheetData>
    <row r="1" ht="21.75" customHeight="1">
      <c r="A1" s="2"/>
      <c r="B1" s="2"/>
      <c r="C1" s="2"/>
      <c r="D1" s="2"/>
      <c r="E1" s="2"/>
      <c r="F1" s="187" t="s">
        <v>640</v>
      </c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188" t="s">
        <v>641</v>
      </c>
      <c r="G2" s="188" t="s">
        <v>691</v>
      </c>
      <c r="H2" s="189"/>
      <c r="I2" s="190" t="s">
        <v>643</v>
      </c>
      <c r="J2" s="191"/>
      <c r="K2" s="192" t="s">
        <v>641</v>
      </c>
      <c r="L2" s="192" t="s">
        <v>692</v>
      </c>
      <c r="M2" s="193"/>
      <c r="N2" s="194" t="s">
        <v>643</v>
      </c>
      <c r="O2" s="191"/>
      <c r="P2" s="195" t="s">
        <v>641</v>
      </c>
      <c r="Q2" s="195" t="s">
        <v>693</v>
      </c>
      <c r="R2" s="196"/>
      <c r="S2" s="197" t="s">
        <v>643</v>
      </c>
      <c r="T2" s="191"/>
      <c r="U2" s="198" t="s">
        <v>641</v>
      </c>
      <c r="V2" s="198" t="s">
        <v>694</v>
      </c>
      <c r="W2" s="199"/>
      <c r="X2" s="200" t="s">
        <v>643</v>
      </c>
      <c r="Y2" s="191"/>
      <c r="Z2" s="201" t="s">
        <v>647</v>
      </c>
      <c r="AA2" s="185"/>
      <c r="AB2" s="201" t="s">
        <v>648</v>
      </c>
      <c r="AC2" s="185"/>
      <c r="AD2" s="31"/>
      <c r="AE2" s="31"/>
      <c r="AF2" s="31"/>
    </row>
    <row r="3">
      <c r="A3" s="202" t="s">
        <v>649</v>
      </c>
      <c r="B3" s="203" t="s">
        <v>650</v>
      </c>
      <c r="C3" s="202" t="s">
        <v>651</v>
      </c>
      <c r="D3" s="202" t="s">
        <v>652</v>
      </c>
      <c r="E3" s="202" t="s">
        <v>7</v>
      </c>
      <c r="F3" s="204" t="s">
        <v>653</v>
      </c>
      <c r="G3" s="205" t="s">
        <v>654</v>
      </c>
      <c r="H3" s="205" t="s">
        <v>655</v>
      </c>
      <c r="I3" s="206" t="s">
        <v>656</v>
      </c>
      <c r="J3" s="206" t="s">
        <v>657</v>
      </c>
      <c r="K3" s="207" t="s">
        <v>658</v>
      </c>
      <c r="L3" s="208" t="s">
        <v>654</v>
      </c>
      <c r="M3" s="208" t="s">
        <v>655</v>
      </c>
      <c r="N3" s="208" t="s">
        <v>656</v>
      </c>
      <c r="O3" s="207" t="s">
        <v>657</v>
      </c>
      <c r="P3" s="209" t="s">
        <v>659</v>
      </c>
      <c r="Q3" s="209" t="s">
        <v>654</v>
      </c>
      <c r="R3" s="210" t="s">
        <v>655</v>
      </c>
      <c r="S3" s="210" t="s">
        <v>656</v>
      </c>
      <c r="T3" s="210" t="s">
        <v>657</v>
      </c>
      <c r="U3" s="211" t="s">
        <v>660</v>
      </c>
      <c r="V3" s="211" t="s">
        <v>654</v>
      </c>
      <c r="W3" s="212" t="s">
        <v>655</v>
      </c>
      <c r="X3" s="211" t="s">
        <v>656</v>
      </c>
      <c r="Y3" s="212" t="s">
        <v>657</v>
      </c>
      <c r="Z3" s="213" t="s">
        <v>661</v>
      </c>
      <c r="AA3" s="213" t="s">
        <v>662</v>
      </c>
      <c r="AB3" s="213" t="s">
        <v>663</v>
      </c>
      <c r="AC3" s="213" t="s">
        <v>662</v>
      </c>
      <c r="AD3" s="214" t="s">
        <v>664</v>
      </c>
      <c r="AE3" s="215" t="s">
        <v>665</v>
      </c>
      <c r="AF3" s="215" t="s">
        <v>666</v>
      </c>
    </row>
    <row r="4">
      <c r="A4" s="216">
        <v>1.0</v>
      </c>
      <c r="B4" s="217" t="s">
        <v>62</v>
      </c>
      <c r="C4" s="28"/>
      <c r="D4" s="17" t="s">
        <v>20</v>
      </c>
      <c r="E4" s="17" t="s">
        <v>37</v>
      </c>
      <c r="F4" s="218" t="s">
        <v>92</v>
      </c>
      <c r="G4" s="219" t="s">
        <v>667</v>
      </c>
      <c r="H4" s="222"/>
      <c r="I4" s="221">
        <v>2.0</v>
      </c>
      <c r="J4" s="221">
        <v>2.0</v>
      </c>
      <c r="K4" s="218" t="s">
        <v>92</v>
      </c>
      <c r="L4" s="219" t="s">
        <v>667</v>
      </c>
      <c r="M4" s="222"/>
      <c r="N4" s="221">
        <v>2.0</v>
      </c>
      <c r="O4" s="221">
        <v>2.0</v>
      </c>
      <c r="P4" s="218" t="s">
        <v>92</v>
      </c>
      <c r="Q4" s="219" t="s">
        <v>667</v>
      </c>
      <c r="R4" s="222"/>
      <c r="S4" s="221">
        <v>2.0</v>
      </c>
      <c r="T4" s="221">
        <v>2.0</v>
      </c>
      <c r="U4" s="218" t="s">
        <v>92</v>
      </c>
      <c r="V4" s="219" t="s">
        <v>667</v>
      </c>
      <c r="W4" s="222"/>
      <c r="X4" s="221">
        <v>2.0</v>
      </c>
      <c r="Y4" s="221">
        <v>2.0</v>
      </c>
      <c r="Z4" s="223">
        <v>2.0</v>
      </c>
      <c r="AA4" s="223">
        <v>0.0</v>
      </c>
      <c r="AB4" s="223">
        <v>0.0</v>
      </c>
      <c r="AC4" s="223">
        <v>0.0</v>
      </c>
      <c r="AD4" s="224">
        <v>0.0</v>
      </c>
      <c r="AE4" s="174">
        <f t="shared" ref="AE4:AE56" si="1">I4+J4+N4+O4+S4+T4+X4+Y4+Z4+AA4+AB4+AC4</f>
        <v>18</v>
      </c>
      <c r="AF4" s="225">
        <f t="shared" ref="AF4:AF56" si="2">14.5-AE4</f>
        <v>-3.5</v>
      </c>
    </row>
    <row r="5">
      <c r="A5" s="39">
        <v>2.0</v>
      </c>
      <c r="B5" s="41" t="s">
        <v>90</v>
      </c>
      <c r="C5" s="226"/>
      <c r="D5" s="29" t="s">
        <v>29</v>
      </c>
      <c r="E5" s="29" t="s">
        <v>68</v>
      </c>
      <c r="F5" s="218" t="s">
        <v>92</v>
      </c>
      <c r="G5" s="219" t="s">
        <v>667</v>
      </c>
      <c r="H5" s="221" t="s">
        <v>699</v>
      </c>
      <c r="I5" s="221">
        <v>2.0</v>
      </c>
      <c r="J5" s="221">
        <v>2.0</v>
      </c>
      <c r="K5" s="51" t="s">
        <v>92</v>
      </c>
      <c r="L5" s="51" t="s">
        <v>667</v>
      </c>
      <c r="M5" s="222"/>
      <c r="N5" s="221">
        <v>2.0</v>
      </c>
      <c r="O5" s="221">
        <v>2.0</v>
      </c>
      <c r="P5" s="51" t="s">
        <v>92</v>
      </c>
      <c r="Q5" s="51" t="s">
        <v>667</v>
      </c>
      <c r="R5" s="222"/>
      <c r="S5" s="221">
        <v>2.0</v>
      </c>
      <c r="T5" s="221">
        <v>2.0</v>
      </c>
      <c r="U5" s="51" t="s">
        <v>92</v>
      </c>
      <c r="V5" s="51" t="s">
        <v>667</v>
      </c>
      <c r="W5" s="221" t="s">
        <v>700</v>
      </c>
      <c r="X5" s="221">
        <v>2.0</v>
      </c>
      <c r="Y5" s="221">
        <v>2.0</v>
      </c>
      <c r="Z5" s="223">
        <v>0.0</v>
      </c>
      <c r="AA5" s="223">
        <v>0.0</v>
      </c>
      <c r="AB5" s="223">
        <v>0.0</v>
      </c>
      <c r="AC5" s="223">
        <v>0.0</v>
      </c>
      <c r="AD5" s="224">
        <v>0.0</v>
      </c>
      <c r="AE5" s="174">
        <f t="shared" si="1"/>
        <v>16</v>
      </c>
      <c r="AF5" s="225">
        <f t="shared" si="2"/>
        <v>-1.5</v>
      </c>
    </row>
    <row r="6">
      <c r="A6" s="216">
        <v>3.0</v>
      </c>
      <c r="B6" s="41" t="s">
        <v>90</v>
      </c>
      <c r="C6" s="55" t="s">
        <v>99</v>
      </c>
      <c r="D6" s="43" t="s">
        <v>95</v>
      </c>
      <c r="E6" s="43" t="s">
        <v>35</v>
      </c>
      <c r="F6" s="2" t="s">
        <v>92</v>
      </c>
      <c r="G6" s="2" t="s">
        <v>667</v>
      </c>
      <c r="H6" s="222"/>
      <c r="I6" s="221">
        <v>2.0</v>
      </c>
      <c r="J6" s="221">
        <v>2.0</v>
      </c>
      <c r="K6" s="2" t="s">
        <v>92</v>
      </c>
      <c r="L6" s="2" t="s">
        <v>667</v>
      </c>
      <c r="M6" s="222"/>
      <c r="N6" s="221">
        <v>2.0</v>
      </c>
      <c r="O6" s="221">
        <v>2.0</v>
      </c>
      <c r="P6" s="2" t="s">
        <v>92</v>
      </c>
      <c r="Q6" s="2" t="s">
        <v>667</v>
      </c>
      <c r="R6" s="222"/>
      <c r="S6" s="221">
        <v>2.0</v>
      </c>
      <c r="T6" s="221">
        <v>2.0</v>
      </c>
      <c r="U6" s="2" t="s">
        <v>92</v>
      </c>
      <c r="V6" s="2" t="s">
        <v>667</v>
      </c>
      <c r="W6" s="222"/>
      <c r="X6" s="221">
        <v>2.0</v>
      </c>
      <c r="Y6" s="221">
        <v>2.0</v>
      </c>
      <c r="Z6" s="223">
        <v>2.0</v>
      </c>
      <c r="AA6" s="223">
        <v>0.0</v>
      </c>
      <c r="AB6" s="223">
        <v>0.0</v>
      </c>
      <c r="AC6" s="223">
        <v>0.0</v>
      </c>
      <c r="AD6" s="224">
        <v>0.0</v>
      </c>
      <c r="AE6" s="174">
        <f t="shared" si="1"/>
        <v>18</v>
      </c>
      <c r="AF6" s="225">
        <f t="shared" si="2"/>
        <v>-3.5</v>
      </c>
    </row>
    <row r="7">
      <c r="A7" s="39">
        <v>4.0</v>
      </c>
      <c r="B7" s="62" t="s">
        <v>90</v>
      </c>
      <c r="C7" s="59"/>
      <c r="D7" s="54" t="s">
        <v>41</v>
      </c>
      <c r="E7" s="54" t="s">
        <v>42</v>
      </c>
      <c r="F7" s="2" t="s">
        <v>92</v>
      </c>
      <c r="G7" s="2" t="s">
        <v>667</v>
      </c>
      <c r="H7" s="222"/>
      <c r="I7" s="221">
        <v>2.0</v>
      </c>
      <c r="J7" s="221">
        <v>2.0</v>
      </c>
      <c r="K7" s="2" t="s">
        <v>92</v>
      </c>
      <c r="L7" s="2" t="s">
        <v>667</v>
      </c>
      <c r="M7" s="221" t="s">
        <v>668</v>
      </c>
      <c r="N7" s="221">
        <v>2.0</v>
      </c>
      <c r="O7" s="221">
        <v>2.0</v>
      </c>
      <c r="P7" s="2" t="s">
        <v>92</v>
      </c>
      <c r="Q7" s="2" t="s">
        <v>667</v>
      </c>
      <c r="R7" s="222"/>
      <c r="S7" s="221">
        <v>2.0</v>
      </c>
      <c r="T7" s="221">
        <v>2.0</v>
      </c>
      <c r="U7" s="2" t="s">
        <v>92</v>
      </c>
      <c r="V7" s="2" t="s">
        <v>667</v>
      </c>
      <c r="W7" s="222"/>
      <c r="X7" s="221">
        <v>2.0</v>
      </c>
      <c r="Y7" s="221">
        <v>2.0</v>
      </c>
      <c r="Z7" s="223">
        <v>2.0</v>
      </c>
      <c r="AA7" s="223">
        <v>0.0</v>
      </c>
      <c r="AB7" s="223">
        <v>0.0</v>
      </c>
      <c r="AC7" s="223">
        <v>0.0</v>
      </c>
      <c r="AD7" s="224">
        <v>0.0</v>
      </c>
      <c r="AE7" s="174">
        <f t="shared" si="1"/>
        <v>18</v>
      </c>
      <c r="AF7" s="225">
        <f t="shared" si="2"/>
        <v>-3.5</v>
      </c>
    </row>
    <row r="8">
      <c r="A8" s="216">
        <v>5.0</v>
      </c>
      <c r="B8" s="62" t="s">
        <v>90</v>
      </c>
      <c r="C8" s="59"/>
      <c r="D8" s="54" t="s">
        <v>48</v>
      </c>
      <c r="E8" s="54" t="s">
        <v>51</v>
      </c>
      <c r="F8" s="2" t="s">
        <v>92</v>
      </c>
      <c r="G8" s="2" t="s">
        <v>667</v>
      </c>
      <c r="H8" s="222"/>
      <c r="I8" s="221">
        <v>2.0</v>
      </c>
      <c r="J8" s="221">
        <v>2.0</v>
      </c>
      <c r="K8" s="2" t="s">
        <v>92</v>
      </c>
      <c r="L8" s="2" t="s">
        <v>667</v>
      </c>
      <c r="M8" s="221" t="s">
        <v>668</v>
      </c>
      <c r="N8" s="221">
        <v>2.0</v>
      </c>
      <c r="O8" s="221">
        <v>2.0</v>
      </c>
      <c r="P8" s="2" t="s">
        <v>92</v>
      </c>
      <c r="Q8" s="2" t="s">
        <v>667</v>
      </c>
      <c r="R8" s="222"/>
      <c r="S8" s="221">
        <v>2.0</v>
      </c>
      <c r="T8" s="221">
        <v>0.0</v>
      </c>
      <c r="U8" s="2" t="s">
        <v>92</v>
      </c>
      <c r="V8" s="2" t="s">
        <v>667</v>
      </c>
      <c r="W8" s="222"/>
      <c r="X8" s="221">
        <v>2.0</v>
      </c>
      <c r="Y8" s="221">
        <v>2.0</v>
      </c>
      <c r="Z8" s="223">
        <v>0.0</v>
      </c>
      <c r="AA8" s="223">
        <v>0.0</v>
      </c>
      <c r="AB8" s="223">
        <v>0.0</v>
      </c>
      <c r="AC8" s="223">
        <v>0.0</v>
      </c>
      <c r="AD8" s="224">
        <v>0.0</v>
      </c>
      <c r="AE8" s="174">
        <f t="shared" si="1"/>
        <v>14</v>
      </c>
      <c r="AF8" s="225">
        <f t="shared" si="2"/>
        <v>0.5</v>
      </c>
    </row>
    <row r="9">
      <c r="A9" s="39">
        <v>6.0</v>
      </c>
      <c r="B9" s="62" t="s">
        <v>90</v>
      </c>
      <c r="C9" s="59"/>
      <c r="D9" s="43" t="s">
        <v>58</v>
      </c>
      <c r="E9" s="43" t="s">
        <v>148</v>
      </c>
      <c r="F9" s="2" t="s">
        <v>92</v>
      </c>
      <c r="G9" s="2" t="s">
        <v>667</v>
      </c>
      <c r="H9" s="222"/>
      <c r="I9" s="221">
        <v>0.0</v>
      </c>
      <c r="J9" s="221">
        <v>2.0</v>
      </c>
      <c r="K9" s="2" t="s">
        <v>92</v>
      </c>
      <c r="L9" s="2" t="s">
        <v>667</v>
      </c>
      <c r="M9" s="222"/>
      <c r="N9" s="221">
        <v>2.0</v>
      </c>
      <c r="O9" s="221">
        <v>2.0</v>
      </c>
      <c r="P9" s="2" t="s">
        <v>92</v>
      </c>
      <c r="Q9" s="2" t="s">
        <v>667</v>
      </c>
      <c r="R9" s="222"/>
      <c r="S9" s="221">
        <v>2.0</v>
      </c>
      <c r="T9" s="221">
        <v>2.0</v>
      </c>
      <c r="U9" s="2" t="s">
        <v>92</v>
      </c>
      <c r="V9" s="2" t="s">
        <v>667</v>
      </c>
      <c r="W9" s="222"/>
      <c r="X9" s="221">
        <v>2.0</v>
      </c>
      <c r="Y9" s="221">
        <v>2.0</v>
      </c>
      <c r="Z9" s="223">
        <v>2.0</v>
      </c>
      <c r="AA9" s="223">
        <v>0.0</v>
      </c>
      <c r="AB9" s="223">
        <v>0.0</v>
      </c>
      <c r="AC9" s="223">
        <v>0.0</v>
      </c>
      <c r="AD9" s="224">
        <v>0.0</v>
      </c>
      <c r="AE9" s="174">
        <f t="shared" si="1"/>
        <v>16</v>
      </c>
      <c r="AF9" s="225">
        <f t="shared" si="2"/>
        <v>-1.5</v>
      </c>
    </row>
    <row r="10">
      <c r="A10" s="216">
        <v>7.0</v>
      </c>
      <c r="B10" s="105" t="s">
        <v>90</v>
      </c>
      <c r="C10" s="68"/>
      <c r="D10" s="70" t="s">
        <v>63</v>
      </c>
      <c r="E10" s="74" t="s">
        <v>64</v>
      </c>
      <c r="F10" s="84" t="s">
        <v>92</v>
      </c>
      <c r="G10" s="2" t="s">
        <v>667</v>
      </c>
      <c r="H10" s="222"/>
      <c r="I10" s="221">
        <v>2.0</v>
      </c>
      <c r="J10" s="221">
        <v>2.0</v>
      </c>
      <c r="K10" s="2" t="s">
        <v>92</v>
      </c>
      <c r="L10" s="2" t="s">
        <v>667</v>
      </c>
      <c r="M10" s="221" t="s">
        <v>701</v>
      </c>
      <c r="N10" s="221">
        <v>2.0</v>
      </c>
      <c r="O10" s="221">
        <v>2.0</v>
      </c>
      <c r="P10" s="2" t="s">
        <v>92</v>
      </c>
      <c r="Q10" s="2" t="s">
        <v>667</v>
      </c>
      <c r="R10" s="222"/>
      <c r="S10" s="221">
        <v>2.0</v>
      </c>
      <c r="T10" s="221">
        <v>2.0</v>
      </c>
      <c r="U10" s="2" t="s">
        <v>92</v>
      </c>
      <c r="V10" s="2" t="s">
        <v>667</v>
      </c>
      <c r="W10" s="222"/>
      <c r="X10" s="221">
        <v>2.0</v>
      </c>
      <c r="Y10" s="221">
        <v>2.0</v>
      </c>
      <c r="Z10" s="223">
        <v>0.0</v>
      </c>
      <c r="AA10" s="223">
        <v>0.0</v>
      </c>
      <c r="AB10" s="223">
        <v>0.0</v>
      </c>
      <c r="AC10" s="223">
        <v>0.0</v>
      </c>
      <c r="AD10" s="224">
        <v>0.0</v>
      </c>
      <c r="AE10" s="174">
        <f t="shared" si="1"/>
        <v>16</v>
      </c>
      <c r="AF10" s="225">
        <f t="shared" si="2"/>
        <v>-1.5</v>
      </c>
    </row>
    <row r="11">
      <c r="A11" s="39">
        <v>8.0</v>
      </c>
      <c r="B11" s="62" t="s">
        <v>90</v>
      </c>
      <c r="C11" s="59"/>
      <c r="D11" s="54" t="s">
        <v>66</v>
      </c>
      <c r="E11" s="54" t="s">
        <v>187</v>
      </c>
      <c r="F11" s="2" t="s">
        <v>92</v>
      </c>
      <c r="G11" s="2" t="s">
        <v>667</v>
      </c>
      <c r="H11" s="222"/>
      <c r="I11" s="221">
        <v>2.0</v>
      </c>
      <c r="J11" s="221">
        <v>2.0</v>
      </c>
      <c r="K11" s="2" t="s">
        <v>92</v>
      </c>
      <c r="L11" s="2" t="s">
        <v>667</v>
      </c>
      <c r="M11" s="222"/>
      <c r="N11" s="221">
        <v>1.5</v>
      </c>
      <c r="O11" s="221">
        <v>2.0</v>
      </c>
      <c r="P11" s="2" t="s">
        <v>92</v>
      </c>
      <c r="Q11" s="2" t="s">
        <v>667</v>
      </c>
      <c r="R11" s="222"/>
      <c r="S11" s="221">
        <v>0.5</v>
      </c>
      <c r="T11" s="221">
        <v>2.0</v>
      </c>
      <c r="U11" s="2" t="s">
        <v>92</v>
      </c>
      <c r="V11" s="2" t="s">
        <v>667</v>
      </c>
      <c r="W11" s="222"/>
      <c r="X11" s="221">
        <v>2.0</v>
      </c>
      <c r="Y11" s="221">
        <v>2.0</v>
      </c>
      <c r="Z11" s="223">
        <v>2.0</v>
      </c>
      <c r="AA11" s="223">
        <v>0.0</v>
      </c>
      <c r="AB11" s="223">
        <v>0.0</v>
      </c>
      <c r="AC11" s="223">
        <v>0.0</v>
      </c>
      <c r="AD11" s="224">
        <v>0.0</v>
      </c>
      <c r="AE11" s="174">
        <f t="shared" si="1"/>
        <v>16</v>
      </c>
      <c r="AF11" s="225">
        <f t="shared" si="2"/>
        <v>-1.5</v>
      </c>
    </row>
    <row r="12">
      <c r="A12" s="216">
        <v>9.0</v>
      </c>
      <c r="B12" s="62" t="s">
        <v>90</v>
      </c>
      <c r="C12" s="59"/>
      <c r="D12" s="46" t="s">
        <v>71</v>
      </c>
      <c r="E12" s="46" t="s">
        <v>195</v>
      </c>
      <c r="F12" s="2" t="s">
        <v>92</v>
      </c>
      <c r="G12" s="2" t="s">
        <v>667</v>
      </c>
      <c r="H12" s="222"/>
      <c r="I12" s="221">
        <v>2.0</v>
      </c>
      <c r="J12" s="221">
        <v>2.0</v>
      </c>
      <c r="K12" s="2" t="s">
        <v>92</v>
      </c>
      <c r="L12" s="2" t="s">
        <v>667</v>
      </c>
      <c r="M12" s="222"/>
      <c r="N12" s="221">
        <v>2.0</v>
      </c>
      <c r="O12" s="221">
        <v>2.0</v>
      </c>
      <c r="P12" s="2" t="s">
        <v>92</v>
      </c>
      <c r="Q12" s="2" t="s">
        <v>667</v>
      </c>
      <c r="R12" s="222"/>
      <c r="S12" s="221">
        <v>1.5</v>
      </c>
      <c r="T12" s="221">
        <v>2.0</v>
      </c>
      <c r="U12" s="167" t="s">
        <v>672</v>
      </c>
      <c r="V12" s="167" t="s">
        <v>673</v>
      </c>
      <c r="W12" s="222"/>
      <c r="X12" s="221">
        <v>2.0</v>
      </c>
      <c r="Y12" s="221">
        <v>0.0</v>
      </c>
      <c r="Z12" s="223">
        <v>0.0</v>
      </c>
      <c r="AA12" s="223">
        <v>0.0</v>
      </c>
      <c r="AB12" s="223">
        <v>0.0</v>
      </c>
      <c r="AC12" s="223">
        <v>0.0</v>
      </c>
      <c r="AD12" s="224">
        <v>1.0</v>
      </c>
      <c r="AE12" s="174">
        <f t="shared" si="1"/>
        <v>13.5</v>
      </c>
      <c r="AF12" s="225">
        <f t="shared" si="2"/>
        <v>1</v>
      </c>
    </row>
    <row r="13">
      <c r="A13" s="39">
        <v>10.0</v>
      </c>
      <c r="B13" s="62" t="s">
        <v>90</v>
      </c>
      <c r="C13" s="59"/>
      <c r="D13" s="54" t="s">
        <v>85</v>
      </c>
      <c r="E13" s="54" t="s">
        <v>86</v>
      </c>
      <c r="F13" s="2" t="s">
        <v>92</v>
      </c>
      <c r="G13" s="2" t="s">
        <v>667</v>
      </c>
      <c r="H13" s="222"/>
      <c r="I13" s="221">
        <v>2.0</v>
      </c>
      <c r="J13" s="221">
        <v>2.0</v>
      </c>
      <c r="K13" s="2" t="s">
        <v>92</v>
      </c>
      <c r="L13" s="2" t="s">
        <v>667</v>
      </c>
      <c r="M13" s="222"/>
      <c r="N13" s="221">
        <v>2.0</v>
      </c>
      <c r="O13" s="221">
        <v>2.0</v>
      </c>
      <c r="P13" s="2" t="s">
        <v>92</v>
      </c>
      <c r="Q13" s="2" t="s">
        <v>667</v>
      </c>
      <c r="R13" s="221" t="s">
        <v>702</v>
      </c>
      <c r="S13" s="221">
        <v>1.5</v>
      </c>
      <c r="T13" s="221">
        <v>0.0</v>
      </c>
      <c r="U13" s="2" t="s">
        <v>92</v>
      </c>
      <c r="V13" s="2" t="s">
        <v>667</v>
      </c>
      <c r="W13" s="222"/>
      <c r="X13" s="221">
        <v>2.0</v>
      </c>
      <c r="Y13" s="221">
        <v>2.0</v>
      </c>
      <c r="Z13" s="223">
        <v>2.0</v>
      </c>
      <c r="AA13" s="223">
        <v>0.0</v>
      </c>
      <c r="AB13" s="223">
        <v>0.0</v>
      </c>
      <c r="AC13" s="223">
        <v>0.0</v>
      </c>
      <c r="AD13" s="224">
        <v>0.0</v>
      </c>
      <c r="AE13" s="174">
        <f t="shared" si="1"/>
        <v>15.5</v>
      </c>
      <c r="AF13" s="225">
        <f t="shared" si="2"/>
        <v>-1</v>
      </c>
    </row>
    <row r="14">
      <c r="A14" s="216">
        <v>11.0</v>
      </c>
      <c r="B14" s="62" t="s">
        <v>90</v>
      </c>
      <c r="C14" s="59"/>
      <c r="D14" s="54" t="s">
        <v>88</v>
      </c>
      <c r="E14" s="54" t="s">
        <v>246</v>
      </c>
      <c r="F14" s="2" t="s">
        <v>92</v>
      </c>
      <c r="G14" s="2" t="s">
        <v>667</v>
      </c>
      <c r="H14" s="222"/>
      <c r="I14" s="221">
        <v>2.0</v>
      </c>
      <c r="J14" s="221">
        <v>2.0</v>
      </c>
      <c r="K14" s="2" t="s">
        <v>92</v>
      </c>
      <c r="L14" s="2" t="s">
        <v>667</v>
      </c>
      <c r="M14" s="222"/>
      <c r="N14" s="221">
        <v>1.5</v>
      </c>
      <c r="O14" s="221">
        <v>2.0</v>
      </c>
      <c r="P14" s="2" t="s">
        <v>92</v>
      </c>
      <c r="Q14" s="2" t="s">
        <v>667</v>
      </c>
      <c r="R14" s="222"/>
      <c r="S14" s="221">
        <v>2.0</v>
      </c>
      <c r="T14" s="221">
        <v>2.0</v>
      </c>
      <c r="U14" s="2" t="s">
        <v>92</v>
      </c>
      <c r="V14" s="2" t="s">
        <v>667</v>
      </c>
      <c r="W14" s="222"/>
      <c r="X14" s="221">
        <v>1.5</v>
      </c>
      <c r="Y14" s="221">
        <v>2.0</v>
      </c>
      <c r="Z14" s="223">
        <v>2.0</v>
      </c>
      <c r="AA14" s="223">
        <v>0.0</v>
      </c>
      <c r="AB14" s="223">
        <v>0.0</v>
      </c>
      <c r="AC14" s="223">
        <v>0.0</v>
      </c>
      <c r="AD14" s="224">
        <v>0.0</v>
      </c>
      <c r="AE14" s="174">
        <f t="shared" si="1"/>
        <v>17</v>
      </c>
      <c r="AF14" s="225">
        <f t="shared" si="2"/>
        <v>-2.5</v>
      </c>
    </row>
    <row r="15">
      <c r="A15" s="39">
        <v>12.0</v>
      </c>
      <c r="B15" s="62" t="s">
        <v>90</v>
      </c>
      <c r="C15" s="59"/>
      <c r="D15" s="43" t="s">
        <v>94</v>
      </c>
      <c r="E15" s="43" t="s">
        <v>258</v>
      </c>
      <c r="F15" s="2" t="s">
        <v>92</v>
      </c>
      <c r="G15" s="2" t="s">
        <v>667</v>
      </c>
      <c r="H15" s="222"/>
      <c r="I15" s="221">
        <v>2.0</v>
      </c>
      <c r="J15" s="221">
        <v>2.0</v>
      </c>
      <c r="K15" s="2" t="s">
        <v>92</v>
      </c>
      <c r="L15" s="2" t="s">
        <v>667</v>
      </c>
      <c r="M15" s="222"/>
      <c r="N15" s="221">
        <v>2.0</v>
      </c>
      <c r="O15" s="221">
        <v>2.0</v>
      </c>
      <c r="P15" s="2" t="s">
        <v>92</v>
      </c>
      <c r="Q15" s="2" t="s">
        <v>667</v>
      </c>
      <c r="R15" s="222"/>
      <c r="S15" s="221">
        <v>2.0</v>
      </c>
      <c r="T15" s="221">
        <v>2.0</v>
      </c>
      <c r="U15" s="2" t="s">
        <v>92</v>
      </c>
      <c r="V15" s="2" t="s">
        <v>667</v>
      </c>
      <c r="W15" s="222"/>
      <c r="X15" s="221">
        <v>1.5</v>
      </c>
      <c r="Y15" s="221">
        <v>2.0</v>
      </c>
      <c r="Z15" s="223">
        <v>2.0</v>
      </c>
      <c r="AA15" s="223">
        <v>0.0</v>
      </c>
      <c r="AB15" s="223">
        <v>0.0</v>
      </c>
      <c r="AC15" s="223">
        <v>0.0</v>
      </c>
      <c r="AD15" s="224">
        <v>0.0</v>
      </c>
      <c r="AE15" s="174">
        <f t="shared" si="1"/>
        <v>17.5</v>
      </c>
      <c r="AF15" s="225">
        <f t="shared" si="2"/>
        <v>-3</v>
      </c>
    </row>
    <row r="16">
      <c r="A16" s="216">
        <v>13.0</v>
      </c>
      <c r="B16" s="121" t="s">
        <v>90</v>
      </c>
      <c r="C16" s="87"/>
      <c r="D16" s="43" t="s">
        <v>107</v>
      </c>
      <c r="E16" s="46" t="s">
        <v>276</v>
      </c>
      <c r="F16" s="2" t="s">
        <v>92</v>
      </c>
      <c r="G16" s="2" t="s">
        <v>667</v>
      </c>
      <c r="H16" s="222"/>
      <c r="I16" s="221">
        <v>2.0</v>
      </c>
      <c r="J16" s="221">
        <v>2.0</v>
      </c>
      <c r="K16" s="167" t="s">
        <v>672</v>
      </c>
      <c r="L16" s="167" t="s">
        <v>673</v>
      </c>
      <c r="M16" s="222"/>
      <c r="N16" s="221">
        <v>1.5</v>
      </c>
      <c r="O16" s="221">
        <v>2.0</v>
      </c>
      <c r="P16" s="2" t="s">
        <v>92</v>
      </c>
      <c r="Q16" s="2" t="s">
        <v>667</v>
      </c>
      <c r="R16" s="222"/>
      <c r="S16" s="221">
        <v>2.0</v>
      </c>
      <c r="T16" s="221">
        <v>1.5</v>
      </c>
      <c r="U16" s="2" t="s">
        <v>92</v>
      </c>
      <c r="V16" s="2" t="s">
        <v>667</v>
      </c>
      <c r="W16" s="222"/>
      <c r="X16" s="221">
        <v>2.0</v>
      </c>
      <c r="Y16" s="221">
        <v>2.0</v>
      </c>
      <c r="Z16" s="223">
        <v>2.0</v>
      </c>
      <c r="AA16" s="223">
        <v>0.0</v>
      </c>
      <c r="AB16" s="223">
        <v>0.0</v>
      </c>
      <c r="AC16" s="223">
        <v>0.0</v>
      </c>
      <c r="AD16" s="224">
        <v>1.0</v>
      </c>
      <c r="AE16" s="174">
        <f t="shared" si="1"/>
        <v>17</v>
      </c>
      <c r="AF16" s="225">
        <f t="shared" si="2"/>
        <v>-2.5</v>
      </c>
    </row>
    <row r="17">
      <c r="A17" s="39">
        <v>14.0</v>
      </c>
      <c r="B17" s="62" t="s">
        <v>90</v>
      </c>
      <c r="C17" s="59"/>
      <c r="D17" s="43" t="s">
        <v>112</v>
      </c>
      <c r="E17" s="43" t="s">
        <v>292</v>
      </c>
      <c r="F17" s="2" t="s">
        <v>92</v>
      </c>
      <c r="G17" s="2" t="s">
        <v>667</v>
      </c>
      <c r="H17" s="222"/>
      <c r="I17" s="221">
        <v>2.0</v>
      </c>
      <c r="J17" s="221">
        <v>2.0</v>
      </c>
      <c r="K17" s="2" t="s">
        <v>92</v>
      </c>
      <c r="L17" s="2" t="s">
        <v>667</v>
      </c>
      <c r="M17" s="222"/>
      <c r="N17" s="221">
        <v>2.0</v>
      </c>
      <c r="O17" s="221">
        <v>2.0</v>
      </c>
      <c r="P17" s="2" t="s">
        <v>92</v>
      </c>
      <c r="Q17" s="2" t="s">
        <v>667</v>
      </c>
      <c r="R17" s="222"/>
      <c r="S17" s="221">
        <v>2.0</v>
      </c>
      <c r="T17" s="221">
        <v>2.0</v>
      </c>
      <c r="U17" s="2" t="s">
        <v>92</v>
      </c>
      <c r="V17" s="2" t="s">
        <v>667</v>
      </c>
      <c r="W17" s="222"/>
      <c r="X17" s="221">
        <v>2.0</v>
      </c>
      <c r="Y17" s="221">
        <v>2.0</v>
      </c>
      <c r="Z17" s="223">
        <v>2.0</v>
      </c>
      <c r="AA17" s="223">
        <v>0.0</v>
      </c>
      <c r="AB17" s="223">
        <v>0.0</v>
      </c>
      <c r="AC17" s="223">
        <v>0.0</v>
      </c>
      <c r="AD17" s="224">
        <v>0.0</v>
      </c>
      <c r="AE17" s="174">
        <f t="shared" si="1"/>
        <v>18</v>
      </c>
      <c r="AF17" s="225">
        <f t="shared" si="2"/>
        <v>-3.5</v>
      </c>
    </row>
    <row r="18">
      <c r="A18" s="216">
        <v>15.0</v>
      </c>
      <c r="B18" s="62" t="s">
        <v>90</v>
      </c>
      <c r="C18" s="59"/>
      <c r="D18" s="43" t="s">
        <v>112</v>
      </c>
      <c r="E18" s="43" t="s">
        <v>117</v>
      </c>
      <c r="F18" s="2" t="s">
        <v>92</v>
      </c>
      <c r="G18" s="2" t="s">
        <v>667</v>
      </c>
      <c r="H18" s="222"/>
      <c r="I18" s="221">
        <v>2.0</v>
      </c>
      <c r="J18" s="221">
        <v>2.0</v>
      </c>
      <c r="K18" s="2" t="s">
        <v>92</v>
      </c>
      <c r="L18" s="2" t="s">
        <v>667</v>
      </c>
      <c r="M18" s="221" t="s">
        <v>668</v>
      </c>
      <c r="N18" s="221">
        <v>1.5</v>
      </c>
      <c r="O18" s="221">
        <v>2.0</v>
      </c>
      <c r="P18" s="2" t="s">
        <v>92</v>
      </c>
      <c r="Q18" s="2" t="s">
        <v>667</v>
      </c>
      <c r="R18" s="222"/>
      <c r="S18" s="221">
        <v>0.5</v>
      </c>
      <c r="T18" s="221">
        <v>2.0</v>
      </c>
      <c r="U18" s="2" t="s">
        <v>92</v>
      </c>
      <c r="V18" s="2" t="s">
        <v>667</v>
      </c>
      <c r="W18" s="222"/>
      <c r="X18" s="221">
        <v>2.0</v>
      </c>
      <c r="Y18" s="221">
        <v>1.5</v>
      </c>
      <c r="Z18" s="223">
        <v>2.0</v>
      </c>
      <c r="AA18" s="223">
        <v>0.0</v>
      </c>
      <c r="AB18" s="223">
        <v>0.0</v>
      </c>
      <c r="AC18" s="223">
        <v>0.0</v>
      </c>
      <c r="AD18" s="224">
        <v>0.0</v>
      </c>
      <c r="AE18" s="174">
        <f t="shared" si="1"/>
        <v>15.5</v>
      </c>
      <c r="AF18" s="225">
        <f t="shared" si="2"/>
        <v>-1</v>
      </c>
    </row>
    <row r="19">
      <c r="A19" s="39">
        <v>16.0</v>
      </c>
      <c r="B19" s="62" t="s">
        <v>90</v>
      </c>
      <c r="C19" s="59"/>
      <c r="D19" s="43" t="s">
        <v>126</v>
      </c>
      <c r="E19" s="43" t="s">
        <v>127</v>
      </c>
      <c r="F19" s="2" t="s">
        <v>92</v>
      </c>
      <c r="G19" s="2" t="s">
        <v>667</v>
      </c>
      <c r="H19" s="222"/>
      <c r="I19" s="221">
        <v>2.0</v>
      </c>
      <c r="J19" s="221">
        <v>2.0</v>
      </c>
      <c r="K19" s="2" t="s">
        <v>92</v>
      </c>
      <c r="L19" s="2" t="s">
        <v>667</v>
      </c>
      <c r="M19" s="222"/>
      <c r="N19" s="221">
        <v>2.0</v>
      </c>
      <c r="O19" s="221">
        <v>2.0</v>
      </c>
      <c r="P19" s="2" t="s">
        <v>92</v>
      </c>
      <c r="Q19" s="2" t="s">
        <v>667</v>
      </c>
      <c r="R19" s="222"/>
      <c r="S19" s="221">
        <v>2.0</v>
      </c>
      <c r="T19" s="221">
        <v>2.0</v>
      </c>
      <c r="U19" s="2" t="s">
        <v>92</v>
      </c>
      <c r="V19" s="2" t="s">
        <v>667</v>
      </c>
      <c r="W19" s="222"/>
      <c r="X19" s="221">
        <v>0.0</v>
      </c>
      <c r="Y19" s="221">
        <v>2.0</v>
      </c>
      <c r="Z19" s="223">
        <v>2.0</v>
      </c>
      <c r="AA19" s="223">
        <v>0.0</v>
      </c>
      <c r="AB19" s="223">
        <v>0.0</v>
      </c>
      <c r="AC19" s="223">
        <v>0.0</v>
      </c>
      <c r="AD19" s="224">
        <v>0.0</v>
      </c>
      <c r="AE19" s="174">
        <f t="shared" si="1"/>
        <v>16</v>
      </c>
      <c r="AF19" s="225">
        <f t="shared" si="2"/>
        <v>-1.5</v>
      </c>
    </row>
    <row r="20">
      <c r="A20" s="216">
        <v>17.0</v>
      </c>
      <c r="B20" s="62" t="s">
        <v>90</v>
      </c>
      <c r="C20" s="59"/>
      <c r="D20" s="43" t="s">
        <v>119</v>
      </c>
      <c r="E20" s="43" t="s">
        <v>121</v>
      </c>
      <c r="F20" s="167" t="s">
        <v>672</v>
      </c>
      <c r="G20" s="167" t="s">
        <v>673</v>
      </c>
      <c r="H20" s="222"/>
      <c r="I20" s="228">
        <v>0.0</v>
      </c>
      <c r="J20" s="228">
        <v>0.0</v>
      </c>
      <c r="K20" s="2" t="s">
        <v>92</v>
      </c>
      <c r="L20" s="2" t="s">
        <v>667</v>
      </c>
      <c r="M20" s="221" t="s">
        <v>668</v>
      </c>
      <c r="N20" s="228">
        <v>0.0</v>
      </c>
      <c r="O20" s="229">
        <v>1.5</v>
      </c>
      <c r="P20" s="167" t="s">
        <v>672</v>
      </c>
      <c r="Q20" s="167" t="s">
        <v>673</v>
      </c>
      <c r="R20" s="222"/>
      <c r="S20" s="229">
        <v>1.0</v>
      </c>
      <c r="T20" s="228">
        <v>0.0</v>
      </c>
      <c r="U20" s="2" t="s">
        <v>92</v>
      </c>
      <c r="V20" s="2" t="s">
        <v>667</v>
      </c>
      <c r="W20" s="222"/>
      <c r="X20" s="229">
        <v>1.5</v>
      </c>
      <c r="Y20" s="229">
        <v>2.0</v>
      </c>
      <c r="Z20" s="230">
        <v>2.0</v>
      </c>
      <c r="AA20" s="231">
        <v>0.0</v>
      </c>
      <c r="AB20" s="231">
        <v>0.0</v>
      </c>
      <c r="AC20" s="231">
        <v>0.0</v>
      </c>
      <c r="AD20" s="224">
        <v>2.0</v>
      </c>
      <c r="AE20" s="174">
        <f t="shared" si="1"/>
        <v>8</v>
      </c>
      <c r="AF20" s="225">
        <f t="shared" si="2"/>
        <v>6.5</v>
      </c>
    </row>
    <row r="21">
      <c r="A21" s="39">
        <v>18.0</v>
      </c>
      <c r="B21" s="62" t="s">
        <v>90</v>
      </c>
      <c r="C21" s="59"/>
      <c r="D21" s="54" t="s">
        <v>135</v>
      </c>
      <c r="E21" s="54" t="s">
        <v>136</v>
      </c>
      <c r="F21" s="2" t="s">
        <v>92</v>
      </c>
      <c r="G21" s="2" t="s">
        <v>667</v>
      </c>
      <c r="H21" s="222"/>
      <c r="I21" s="221">
        <v>2.0</v>
      </c>
      <c r="J21" s="221">
        <v>2.0</v>
      </c>
      <c r="K21" s="2" t="s">
        <v>92</v>
      </c>
      <c r="L21" s="2" t="s">
        <v>667</v>
      </c>
      <c r="M21" s="222"/>
      <c r="N21" s="221">
        <v>2.0</v>
      </c>
      <c r="O21" s="221">
        <v>2.0</v>
      </c>
      <c r="P21" s="2" t="s">
        <v>92</v>
      </c>
      <c r="Q21" s="2" t="s">
        <v>667</v>
      </c>
      <c r="R21" s="222"/>
      <c r="S21" s="221">
        <v>2.0</v>
      </c>
      <c r="T21" s="221">
        <v>2.0</v>
      </c>
      <c r="U21" s="2" t="s">
        <v>92</v>
      </c>
      <c r="V21" s="2" t="s">
        <v>667</v>
      </c>
      <c r="W21" s="222"/>
      <c r="X21" s="221">
        <v>2.0</v>
      </c>
      <c r="Y21" s="221">
        <v>2.0</v>
      </c>
      <c r="Z21" s="223">
        <v>0.0</v>
      </c>
      <c r="AA21" s="223">
        <v>0.0</v>
      </c>
      <c r="AB21" s="223">
        <v>0.0</v>
      </c>
      <c r="AC21" s="223">
        <v>0.0</v>
      </c>
      <c r="AD21" s="224">
        <v>0.0</v>
      </c>
      <c r="AE21" s="174">
        <f t="shared" si="1"/>
        <v>16</v>
      </c>
      <c r="AF21" s="225">
        <f t="shared" si="2"/>
        <v>-1.5</v>
      </c>
    </row>
    <row r="22">
      <c r="A22" s="216">
        <v>19.0</v>
      </c>
      <c r="B22" s="62" t="s">
        <v>90</v>
      </c>
      <c r="C22" s="59"/>
      <c r="D22" s="43" t="s">
        <v>138</v>
      </c>
      <c r="E22" s="43" t="s">
        <v>139</v>
      </c>
      <c r="F22" s="2" t="s">
        <v>92</v>
      </c>
      <c r="G22" s="2" t="s">
        <v>667</v>
      </c>
      <c r="H22" s="221" t="s">
        <v>703</v>
      </c>
      <c r="I22" s="221">
        <v>2.0</v>
      </c>
      <c r="J22" s="221">
        <v>2.0</v>
      </c>
      <c r="K22" s="2" t="s">
        <v>92</v>
      </c>
      <c r="L22" s="2" t="s">
        <v>667</v>
      </c>
      <c r="M22" s="221" t="s">
        <v>668</v>
      </c>
      <c r="N22" s="221">
        <v>1.5</v>
      </c>
      <c r="O22" s="221">
        <v>2.0</v>
      </c>
      <c r="P22" s="2" t="s">
        <v>92</v>
      </c>
      <c r="Q22" s="2" t="s">
        <v>667</v>
      </c>
      <c r="R22" s="222"/>
      <c r="S22" s="221">
        <v>2.0</v>
      </c>
      <c r="T22" s="221">
        <v>2.0</v>
      </c>
      <c r="U22" s="2" t="s">
        <v>92</v>
      </c>
      <c r="V22" s="2" t="s">
        <v>667</v>
      </c>
      <c r="W22" s="222"/>
      <c r="X22" s="221">
        <v>2.0</v>
      </c>
      <c r="Y22" s="221">
        <v>1.5</v>
      </c>
      <c r="Z22" s="223">
        <v>0.0</v>
      </c>
      <c r="AA22" s="223">
        <v>0.0</v>
      </c>
      <c r="AB22" s="223">
        <v>0.0</v>
      </c>
      <c r="AC22" s="223">
        <v>0.0</v>
      </c>
      <c r="AD22" s="224">
        <v>0.0</v>
      </c>
      <c r="AE22" s="174">
        <f t="shared" si="1"/>
        <v>15</v>
      </c>
      <c r="AF22" s="225">
        <f t="shared" si="2"/>
        <v>-0.5</v>
      </c>
    </row>
    <row r="23">
      <c r="A23" s="39">
        <v>20.0</v>
      </c>
      <c r="B23" s="62" t="s">
        <v>90</v>
      </c>
      <c r="C23" s="59"/>
      <c r="D23" s="43" t="s">
        <v>146</v>
      </c>
      <c r="E23" s="43" t="s">
        <v>149</v>
      </c>
      <c r="F23" s="2" t="s">
        <v>92</v>
      </c>
      <c r="G23" s="2" t="s">
        <v>667</v>
      </c>
      <c r="H23" s="222"/>
      <c r="I23" s="221">
        <v>2.0</v>
      </c>
      <c r="J23" s="221">
        <v>2.0</v>
      </c>
      <c r="K23" s="2" t="s">
        <v>92</v>
      </c>
      <c r="L23" s="2" t="s">
        <v>667</v>
      </c>
      <c r="M23" s="222"/>
      <c r="N23" s="221">
        <v>2.0</v>
      </c>
      <c r="O23" s="221">
        <v>2.0</v>
      </c>
      <c r="P23" s="2" t="s">
        <v>92</v>
      </c>
      <c r="Q23" s="2" t="s">
        <v>667</v>
      </c>
      <c r="R23" s="222"/>
      <c r="S23" s="221">
        <v>2.0</v>
      </c>
      <c r="T23" s="221">
        <v>2.0</v>
      </c>
      <c r="U23" s="2" t="s">
        <v>92</v>
      </c>
      <c r="V23" s="2" t="s">
        <v>667</v>
      </c>
      <c r="W23" s="222"/>
      <c r="X23" s="221">
        <v>2.0</v>
      </c>
      <c r="Y23" s="221">
        <v>2.0</v>
      </c>
      <c r="Z23" s="223">
        <v>0.0</v>
      </c>
      <c r="AA23" s="223">
        <v>0.0</v>
      </c>
      <c r="AB23" s="223">
        <v>0.0</v>
      </c>
      <c r="AC23" s="223">
        <v>0.0</v>
      </c>
      <c r="AD23" s="224">
        <v>0.0</v>
      </c>
      <c r="AE23" s="174">
        <f t="shared" si="1"/>
        <v>16</v>
      </c>
      <c r="AF23" s="225">
        <f t="shared" si="2"/>
        <v>-1.5</v>
      </c>
    </row>
    <row r="24">
      <c r="A24" s="216">
        <v>21.0</v>
      </c>
      <c r="B24" s="105" t="s">
        <v>90</v>
      </c>
      <c r="C24" s="68"/>
      <c r="D24" s="74" t="s">
        <v>153</v>
      </c>
      <c r="E24" s="74" t="s">
        <v>154</v>
      </c>
      <c r="F24" s="2" t="s">
        <v>92</v>
      </c>
      <c r="G24" s="2" t="s">
        <v>667</v>
      </c>
      <c r="H24" s="221" t="s">
        <v>704</v>
      </c>
      <c r="I24" s="221">
        <v>0.5</v>
      </c>
      <c r="J24" s="221">
        <v>2.0</v>
      </c>
      <c r="K24" s="2" t="s">
        <v>92</v>
      </c>
      <c r="L24" s="2" t="s">
        <v>667</v>
      </c>
      <c r="M24" s="222"/>
      <c r="N24" s="221">
        <v>2.0</v>
      </c>
      <c r="O24" s="221">
        <v>2.0</v>
      </c>
      <c r="P24" s="2" t="s">
        <v>92</v>
      </c>
      <c r="Q24" s="2" t="s">
        <v>667</v>
      </c>
      <c r="R24" s="222"/>
      <c r="S24" s="221">
        <v>2.0</v>
      </c>
      <c r="T24" s="221">
        <v>2.0</v>
      </c>
      <c r="U24" s="2" t="s">
        <v>92</v>
      </c>
      <c r="V24" s="2" t="s">
        <v>667</v>
      </c>
      <c r="W24" s="222"/>
      <c r="X24" s="221">
        <v>1.0</v>
      </c>
      <c r="Y24" s="221">
        <v>2.0</v>
      </c>
      <c r="Z24" s="223">
        <v>1.0</v>
      </c>
      <c r="AA24" s="223">
        <v>0.0</v>
      </c>
      <c r="AB24" s="223">
        <v>0.0</v>
      </c>
      <c r="AC24" s="223">
        <v>0.0</v>
      </c>
      <c r="AD24" s="224">
        <v>0.0</v>
      </c>
      <c r="AE24" s="174">
        <f t="shared" si="1"/>
        <v>14.5</v>
      </c>
      <c r="AF24" s="225">
        <f t="shared" si="2"/>
        <v>0</v>
      </c>
    </row>
    <row r="25">
      <c r="A25" s="39">
        <v>22.0</v>
      </c>
      <c r="B25" s="62" t="s">
        <v>90</v>
      </c>
      <c r="C25" s="59"/>
      <c r="D25" s="54" t="s">
        <v>162</v>
      </c>
      <c r="E25" s="54" t="s">
        <v>163</v>
      </c>
      <c r="F25" s="2" t="s">
        <v>92</v>
      </c>
      <c r="G25" s="2" t="s">
        <v>667</v>
      </c>
      <c r="H25" s="222"/>
      <c r="I25" s="221">
        <v>2.0</v>
      </c>
      <c r="J25" s="221">
        <v>2.0</v>
      </c>
      <c r="K25" s="2" t="s">
        <v>92</v>
      </c>
      <c r="L25" s="2" t="s">
        <v>667</v>
      </c>
      <c r="M25" s="221" t="s">
        <v>668</v>
      </c>
      <c r="N25" s="221">
        <v>2.0</v>
      </c>
      <c r="O25" s="221">
        <v>2.0</v>
      </c>
      <c r="P25" s="2" t="s">
        <v>92</v>
      </c>
      <c r="Q25" s="2" t="s">
        <v>667</v>
      </c>
      <c r="R25" s="222"/>
      <c r="S25" s="221">
        <v>2.0</v>
      </c>
      <c r="T25" s="221">
        <v>2.0</v>
      </c>
      <c r="U25" s="2" t="s">
        <v>92</v>
      </c>
      <c r="V25" s="2" t="s">
        <v>667</v>
      </c>
      <c r="W25" s="222"/>
      <c r="X25" s="221">
        <v>2.0</v>
      </c>
      <c r="Y25" s="221">
        <v>2.0</v>
      </c>
      <c r="Z25" s="223">
        <v>2.0</v>
      </c>
      <c r="AA25" s="223">
        <v>0.0</v>
      </c>
      <c r="AB25" s="223">
        <v>0.0</v>
      </c>
      <c r="AC25" s="223">
        <v>0.0</v>
      </c>
      <c r="AD25" s="224">
        <v>0.0</v>
      </c>
      <c r="AE25" s="174">
        <f t="shared" si="1"/>
        <v>18</v>
      </c>
      <c r="AF25" s="225">
        <f t="shared" si="2"/>
        <v>-3.5</v>
      </c>
    </row>
    <row r="26">
      <c r="A26" s="216">
        <v>23.0</v>
      </c>
      <c r="B26" s="105" t="s">
        <v>90</v>
      </c>
      <c r="C26" s="68"/>
      <c r="D26" s="70" t="s">
        <v>165</v>
      </c>
      <c r="E26" s="74" t="s">
        <v>166</v>
      </c>
      <c r="F26" s="2" t="s">
        <v>92</v>
      </c>
      <c r="G26" s="2" t="s">
        <v>667</v>
      </c>
      <c r="H26" s="222"/>
      <c r="I26" s="221">
        <v>0.0</v>
      </c>
      <c r="J26" s="221">
        <v>2.0</v>
      </c>
      <c r="K26" s="2" t="s">
        <v>92</v>
      </c>
      <c r="L26" s="2" t="s">
        <v>667</v>
      </c>
      <c r="M26" s="222"/>
      <c r="N26" s="221">
        <v>2.0</v>
      </c>
      <c r="O26" s="221">
        <v>2.0</v>
      </c>
      <c r="P26" s="2" t="s">
        <v>92</v>
      </c>
      <c r="Q26" s="2" t="s">
        <v>667</v>
      </c>
      <c r="R26" s="221" t="s">
        <v>705</v>
      </c>
      <c r="S26" s="221">
        <v>2.0</v>
      </c>
      <c r="T26" s="221">
        <v>2.0</v>
      </c>
      <c r="U26" s="2" t="s">
        <v>92</v>
      </c>
      <c r="V26" s="2" t="s">
        <v>667</v>
      </c>
      <c r="W26" s="222"/>
      <c r="X26" s="221">
        <v>2.0</v>
      </c>
      <c r="Y26" s="221">
        <v>2.0</v>
      </c>
      <c r="Z26" s="223">
        <v>0.0</v>
      </c>
      <c r="AA26" s="223">
        <v>0.0</v>
      </c>
      <c r="AB26" s="223">
        <v>0.0</v>
      </c>
      <c r="AC26" s="223">
        <v>0.0</v>
      </c>
      <c r="AD26" s="224">
        <v>0.0</v>
      </c>
      <c r="AE26" s="174">
        <f t="shared" si="1"/>
        <v>14</v>
      </c>
      <c r="AF26" s="225">
        <f t="shared" si="2"/>
        <v>0.5</v>
      </c>
    </row>
    <row r="27">
      <c r="A27" s="39">
        <v>24.0</v>
      </c>
      <c r="B27" s="62" t="s">
        <v>90</v>
      </c>
      <c r="C27" s="59"/>
      <c r="D27" s="43" t="s">
        <v>175</v>
      </c>
      <c r="E27" s="43" t="s">
        <v>80</v>
      </c>
      <c r="F27" s="2" t="s">
        <v>92</v>
      </c>
      <c r="G27" s="2" t="s">
        <v>667</v>
      </c>
      <c r="H27" s="222"/>
      <c r="I27" s="221">
        <v>1.5</v>
      </c>
      <c r="J27" s="221">
        <v>2.0</v>
      </c>
      <c r="K27" s="2" t="s">
        <v>92</v>
      </c>
      <c r="L27" s="2" t="s">
        <v>667</v>
      </c>
      <c r="M27" s="222"/>
      <c r="N27" s="221">
        <v>2.0</v>
      </c>
      <c r="O27" s="221">
        <v>2.0</v>
      </c>
      <c r="P27" s="2" t="s">
        <v>92</v>
      </c>
      <c r="Q27" s="2" t="s">
        <v>667</v>
      </c>
      <c r="R27" s="222"/>
      <c r="S27" s="221">
        <v>0.0</v>
      </c>
      <c r="T27" s="221">
        <v>2.0</v>
      </c>
      <c r="U27" s="2" t="s">
        <v>92</v>
      </c>
      <c r="V27" s="2" t="s">
        <v>667</v>
      </c>
      <c r="W27" s="222"/>
      <c r="X27" s="221">
        <v>0.0</v>
      </c>
      <c r="Y27" s="221">
        <v>2.0</v>
      </c>
      <c r="Z27" s="223">
        <v>2.0</v>
      </c>
      <c r="AA27" s="223">
        <v>0.0</v>
      </c>
      <c r="AB27" s="223">
        <v>0.0</v>
      </c>
      <c r="AC27" s="223">
        <v>0.0</v>
      </c>
      <c r="AD27" s="224">
        <v>0.0</v>
      </c>
      <c r="AE27" s="174">
        <f t="shared" si="1"/>
        <v>13.5</v>
      </c>
      <c r="AF27" s="225">
        <f t="shared" si="2"/>
        <v>1</v>
      </c>
    </row>
    <row r="28">
      <c r="A28" s="216">
        <v>25.0</v>
      </c>
      <c r="B28" s="62" t="s">
        <v>90</v>
      </c>
      <c r="C28" s="59"/>
      <c r="D28" s="46" t="s">
        <v>180</v>
      </c>
      <c r="E28" s="46" t="s">
        <v>181</v>
      </c>
      <c r="F28" s="2" t="s">
        <v>92</v>
      </c>
      <c r="G28" s="2" t="s">
        <v>667</v>
      </c>
      <c r="H28" s="222"/>
      <c r="I28" s="221">
        <v>2.0</v>
      </c>
      <c r="J28" s="221">
        <v>2.0</v>
      </c>
      <c r="K28" s="2" t="s">
        <v>92</v>
      </c>
      <c r="L28" s="2" t="s">
        <v>667</v>
      </c>
      <c r="M28" s="222"/>
      <c r="N28" s="221">
        <v>2.0</v>
      </c>
      <c r="O28" s="221">
        <v>2.0</v>
      </c>
      <c r="P28" s="2" t="s">
        <v>92</v>
      </c>
      <c r="Q28" s="2" t="s">
        <v>667</v>
      </c>
      <c r="R28" s="222"/>
      <c r="S28" s="221">
        <v>2.0</v>
      </c>
      <c r="T28" s="221">
        <v>2.0</v>
      </c>
      <c r="U28" s="2" t="s">
        <v>92</v>
      </c>
      <c r="V28" s="2" t="s">
        <v>667</v>
      </c>
      <c r="W28" s="222"/>
      <c r="X28" s="221">
        <v>2.0</v>
      </c>
      <c r="Y28" s="221">
        <v>2.0</v>
      </c>
      <c r="Z28" s="223">
        <v>0.0</v>
      </c>
      <c r="AA28" s="223">
        <v>0.0</v>
      </c>
      <c r="AB28" s="223">
        <v>0.0</v>
      </c>
      <c r="AC28" s="223">
        <v>0.0</v>
      </c>
      <c r="AD28" s="224">
        <v>0.0</v>
      </c>
      <c r="AE28" s="174">
        <f t="shared" si="1"/>
        <v>16</v>
      </c>
      <c r="AF28" s="225">
        <f t="shared" si="2"/>
        <v>-1.5</v>
      </c>
    </row>
    <row r="29">
      <c r="A29" s="39">
        <v>26.0</v>
      </c>
      <c r="B29" s="105" t="s">
        <v>90</v>
      </c>
      <c r="C29" s="68"/>
      <c r="D29" s="70" t="s">
        <v>184</v>
      </c>
      <c r="E29" s="74" t="s">
        <v>185</v>
      </c>
      <c r="F29" s="2" t="s">
        <v>92</v>
      </c>
      <c r="G29" s="2" t="s">
        <v>667</v>
      </c>
      <c r="H29" s="222"/>
      <c r="I29" s="221">
        <v>0.0</v>
      </c>
      <c r="J29" s="221">
        <v>2.0</v>
      </c>
      <c r="K29" s="2" t="s">
        <v>92</v>
      </c>
      <c r="L29" s="2" t="s">
        <v>667</v>
      </c>
      <c r="M29" s="222"/>
      <c r="N29" s="221">
        <v>2.0</v>
      </c>
      <c r="O29" s="221">
        <v>2.0</v>
      </c>
      <c r="P29" s="2" t="s">
        <v>92</v>
      </c>
      <c r="Q29" s="2" t="s">
        <v>667</v>
      </c>
      <c r="R29" s="222"/>
      <c r="S29" s="221">
        <v>2.0</v>
      </c>
      <c r="T29" s="221">
        <v>2.0</v>
      </c>
      <c r="U29" s="2" t="s">
        <v>92</v>
      </c>
      <c r="V29" s="2" t="s">
        <v>667</v>
      </c>
      <c r="W29" s="222"/>
      <c r="X29" s="221">
        <v>2.0</v>
      </c>
      <c r="Y29" s="221">
        <v>2.0</v>
      </c>
      <c r="Z29" s="223">
        <v>0.0</v>
      </c>
      <c r="AA29" s="223">
        <v>0.0</v>
      </c>
      <c r="AB29" s="223">
        <v>0.0</v>
      </c>
      <c r="AC29" s="223">
        <v>0.0</v>
      </c>
      <c r="AD29" s="224">
        <v>0.0</v>
      </c>
      <c r="AE29" s="174">
        <f t="shared" si="1"/>
        <v>14</v>
      </c>
      <c r="AF29" s="225">
        <f t="shared" si="2"/>
        <v>0.5</v>
      </c>
    </row>
    <row r="30">
      <c r="A30" s="216">
        <v>27.0</v>
      </c>
      <c r="B30" s="62" t="s">
        <v>90</v>
      </c>
      <c r="C30" s="59"/>
      <c r="D30" s="54" t="s">
        <v>193</v>
      </c>
      <c r="E30" s="54" t="s">
        <v>194</v>
      </c>
      <c r="F30" s="218" t="s">
        <v>92</v>
      </c>
      <c r="G30" s="2" t="s">
        <v>667</v>
      </c>
      <c r="H30" s="222"/>
      <c r="I30" s="221">
        <v>2.0</v>
      </c>
      <c r="J30" s="221">
        <v>2.0</v>
      </c>
      <c r="K30" s="167" t="s">
        <v>672</v>
      </c>
      <c r="L30" s="167" t="s">
        <v>673</v>
      </c>
      <c r="M30" s="222"/>
      <c r="N30" s="221">
        <v>2.0</v>
      </c>
      <c r="O30" s="221">
        <v>2.0</v>
      </c>
      <c r="P30" s="2" t="s">
        <v>92</v>
      </c>
      <c r="Q30" s="2" t="s">
        <v>667</v>
      </c>
      <c r="R30" s="222"/>
      <c r="S30" s="221">
        <v>2.0</v>
      </c>
      <c r="T30" s="221">
        <v>2.0</v>
      </c>
      <c r="U30" s="2" t="s">
        <v>92</v>
      </c>
      <c r="V30" s="2" t="s">
        <v>667</v>
      </c>
      <c r="W30" s="222"/>
      <c r="X30" s="221">
        <v>1.5</v>
      </c>
      <c r="Y30" s="221">
        <v>2.0</v>
      </c>
      <c r="Z30" s="223">
        <v>2.0</v>
      </c>
      <c r="AA30" s="223">
        <v>0.0</v>
      </c>
      <c r="AB30" s="223">
        <v>0.0</v>
      </c>
      <c r="AC30" s="223">
        <v>0.0</v>
      </c>
      <c r="AD30" s="224">
        <v>1.0</v>
      </c>
      <c r="AE30" s="174">
        <f t="shared" si="1"/>
        <v>17.5</v>
      </c>
      <c r="AF30" s="225">
        <f t="shared" si="2"/>
        <v>-3</v>
      </c>
    </row>
    <row r="31">
      <c r="A31" s="39">
        <v>28.0</v>
      </c>
      <c r="B31" s="62" t="s">
        <v>90</v>
      </c>
      <c r="C31" s="59"/>
      <c r="D31" s="54" t="s">
        <v>199</v>
      </c>
      <c r="E31" s="54" t="s">
        <v>200</v>
      </c>
      <c r="F31" s="218" t="s">
        <v>92</v>
      </c>
      <c r="G31" s="2" t="s">
        <v>667</v>
      </c>
      <c r="H31" s="222"/>
      <c r="I31" s="221">
        <v>2.0</v>
      </c>
      <c r="J31" s="221">
        <v>2.0</v>
      </c>
      <c r="K31" s="2" t="s">
        <v>92</v>
      </c>
      <c r="L31" s="2" t="s">
        <v>667</v>
      </c>
      <c r="M31" s="222"/>
      <c r="N31" s="221">
        <v>2.0</v>
      </c>
      <c r="O31" s="221">
        <v>2.0</v>
      </c>
      <c r="P31" s="2" t="s">
        <v>92</v>
      </c>
      <c r="Q31" s="2" t="s">
        <v>667</v>
      </c>
      <c r="R31" s="222"/>
      <c r="S31" s="221">
        <v>2.0</v>
      </c>
      <c r="T31" s="221">
        <v>2.0</v>
      </c>
      <c r="U31" s="2" t="s">
        <v>92</v>
      </c>
      <c r="V31" s="2" t="s">
        <v>667</v>
      </c>
      <c r="W31" s="222"/>
      <c r="X31" s="221">
        <v>2.0</v>
      </c>
      <c r="Y31" s="221">
        <v>2.0</v>
      </c>
      <c r="Z31" s="223">
        <v>0.0</v>
      </c>
      <c r="AA31" s="223">
        <v>0.0</v>
      </c>
      <c r="AB31" s="223">
        <v>0.0</v>
      </c>
      <c r="AC31" s="223">
        <v>0.0</v>
      </c>
      <c r="AD31" s="224">
        <v>0.0</v>
      </c>
      <c r="AE31" s="174">
        <f t="shared" si="1"/>
        <v>16</v>
      </c>
      <c r="AF31" s="225">
        <f t="shared" si="2"/>
        <v>-1.5</v>
      </c>
    </row>
    <row r="32">
      <c r="A32" s="216">
        <v>29.0</v>
      </c>
      <c r="B32" s="62" t="s">
        <v>90</v>
      </c>
      <c r="C32" s="59"/>
      <c r="D32" s="46" t="s">
        <v>206</v>
      </c>
      <c r="E32" s="46" t="s">
        <v>397</v>
      </c>
      <c r="F32" s="218" t="s">
        <v>92</v>
      </c>
      <c r="G32" s="2" t="s">
        <v>667</v>
      </c>
      <c r="H32" s="222"/>
      <c r="I32" s="221">
        <v>2.0</v>
      </c>
      <c r="J32" s="221">
        <v>2.0</v>
      </c>
      <c r="K32" s="2" t="s">
        <v>92</v>
      </c>
      <c r="L32" s="2" t="s">
        <v>667</v>
      </c>
      <c r="M32" s="222"/>
      <c r="N32" s="221">
        <v>2.0</v>
      </c>
      <c r="O32" s="221">
        <v>2.0</v>
      </c>
      <c r="P32" s="2" t="s">
        <v>92</v>
      </c>
      <c r="Q32" s="2" t="s">
        <v>667</v>
      </c>
      <c r="R32" s="222"/>
      <c r="S32" s="221">
        <v>2.0</v>
      </c>
      <c r="T32" s="221">
        <v>2.0</v>
      </c>
      <c r="U32" s="2" t="s">
        <v>92</v>
      </c>
      <c r="V32" s="2" t="s">
        <v>667</v>
      </c>
      <c r="W32" s="222"/>
      <c r="X32" s="221">
        <v>2.0</v>
      </c>
      <c r="Y32" s="221">
        <v>2.0</v>
      </c>
      <c r="Z32" s="223">
        <v>0.0</v>
      </c>
      <c r="AA32" s="223">
        <v>0.0</v>
      </c>
      <c r="AB32" s="223">
        <v>0.0</v>
      </c>
      <c r="AC32" s="223">
        <v>0.0</v>
      </c>
      <c r="AD32" s="224">
        <v>0.0</v>
      </c>
      <c r="AE32" s="174">
        <f t="shared" si="1"/>
        <v>16</v>
      </c>
      <c r="AF32" s="225">
        <f t="shared" si="2"/>
        <v>-1.5</v>
      </c>
    </row>
    <row r="33">
      <c r="A33" s="39">
        <v>30.0</v>
      </c>
      <c r="B33" s="62" t="s">
        <v>90</v>
      </c>
      <c r="C33" s="59"/>
      <c r="D33" s="36" t="s">
        <v>210</v>
      </c>
      <c r="E33" s="36" t="s">
        <v>211</v>
      </c>
      <c r="F33" s="218" t="s">
        <v>92</v>
      </c>
      <c r="G33" s="2" t="s">
        <v>667</v>
      </c>
      <c r="H33" s="222"/>
      <c r="I33" s="221">
        <v>2.0</v>
      </c>
      <c r="J33" s="221">
        <v>2.0</v>
      </c>
      <c r="K33" s="2" t="s">
        <v>92</v>
      </c>
      <c r="L33" s="167" t="s">
        <v>706</v>
      </c>
      <c r="M33" s="222"/>
      <c r="N33" s="221">
        <v>2.0</v>
      </c>
      <c r="O33" s="221">
        <v>1.0</v>
      </c>
      <c r="P33" s="2" t="s">
        <v>92</v>
      </c>
      <c r="Q33" s="2" t="s">
        <v>667</v>
      </c>
      <c r="R33" s="222"/>
      <c r="S33" s="221">
        <v>2.0</v>
      </c>
      <c r="T33" s="221">
        <v>1.0</v>
      </c>
      <c r="U33" s="2" t="s">
        <v>92</v>
      </c>
      <c r="V33" s="2" t="s">
        <v>667</v>
      </c>
      <c r="W33" s="222"/>
      <c r="X33" s="221">
        <v>2.0</v>
      </c>
      <c r="Y33" s="221">
        <v>1.0</v>
      </c>
      <c r="Z33" s="223">
        <v>2.0</v>
      </c>
      <c r="AA33" s="223">
        <v>1.0</v>
      </c>
      <c r="AB33" s="223">
        <v>0.0</v>
      </c>
      <c r="AC33" s="223">
        <v>0.0</v>
      </c>
      <c r="AD33" s="224">
        <v>0.0</v>
      </c>
      <c r="AE33" s="174">
        <f t="shared" si="1"/>
        <v>16</v>
      </c>
      <c r="AF33" s="225">
        <f t="shared" si="2"/>
        <v>-1.5</v>
      </c>
    </row>
    <row r="34">
      <c r="A34" s="216">
        <v>31.0</v>
      </c>
      <c r="B34" s="62" t="s">
        <v>90</v>
      </c>
      <c r="C34" s="59"/>
      <c r="D34" s="43" t="s">
        <v>219</v>
      </c>
      <c r="E34" s="43" t="s">
        <v>415</v>
      </c>
      <c r="F34" s="218" t="s">
        <v>92</v>
      </c>
      <c r="G34" s="2" t="s">
        <v>667</v>
      </c>
      <c r="H34" s="222"/>
      <c r="I34" s="221">
        <v>2.0</v>
      </c>
      <c r="J34" s="221">
        <v>2.0</v>
      </c>
      <c r="K34" s="2" t="s">
        <v>92</v>
      </c>
      <c r="L34" s="2" t="s">
        <v>667</v>
      </c>
      <c r="M34" s="221" t="s">
        <v>685</v>
      </c>
      <c r="N34" s="221">
        <v>2.0</v>
      </c>
      <c r="O34" s="221">
        <v>2.0</v>
      </c>
      <c r="P34" s="2" t="s">
        <v>92</v>
      </c>
      <c r="Q34" s="2" t="s">
        <v>667</v>
      </c>
      <c r="R34" s="222"/>
      <c r="S34" s="221">
        <v>2.0</v>
      </c>
      <c r="T34" s="221">
        <v>2.0</v>
      </c>
      <c r="U34" s="2" t="s">
        <v>92</v>
      </c>
      <c r="V34" s="2" t="s">
        <v>667</v>
      </c>
      <c r="W34" s="222"/>
      <c r="X34" s="221">
        <v>2.0</v>
      </c>
      <c r="Y34" s="221">
        <v>2.0</v>
      </c>
      <c r="Z34" s="223">
        <v>2.0</v>
      </c>
      <c r="AA34" s="223">
        <v>0.0</v>
      </c>
      <c r="AB34" s="223">
        <v>0.0</v>
      </c>
      <c r="AC34" s="223">
        <v>0.0</v>
      </c>
      <c r="AD34" s="224">
        <v>0.0</v>
      </c>
      <c r="AE34" s="174">
        <f t="shared" si="1"/>
        <v>18</v>
      </c>
      <c r="AF34" s="225">
        <f t="shared" si="2"/>
        <v>-3.5</v>
      </c>
    </row>
    <row r="35">
      <c r="A35" s="39">
        <v>32.0</v>
      </c>
      <c r="B35" s="62" t="s">
        <v>90</v>
      </c>
      <c r="C35" s="55" t="s">
        <v>99</v>
      </c>
      <c r="D35" s="43" t="s">
        <v>219</v>
      </c>
      <c r="E35" s="43" t="s">
        <v>225</v>
      </c>
      <c r="F35" s="218" t="s">
        <v>92</v>
      </c>
      <c r="G35" s="2" t="s">
        <v>667</v>
      </c>
      <c r="H35" s="222"/>
      <c r="I35" s="221">
        <v>2.0</v>
      </c>
      <c r="J35" s="221">
        <v>2.0</v>
      </c>
      <c r="K35" s="2" t="s">
        <v>92</v>
      </c>
      <c r="L35" s="2" t="s">
        <v>667</v>
      </c>
      <c r="M35" s="222"/>
      <c r="N35" s="221">
        <v>2.0</v>
      </c>
      <c r="O35" s="221">
        <v>2.0</v>
      </c>
      <c r="P35" s="2" t="s">
        <v>92</v>
      </c>
      <c r="Q35" s="2" t="s">
        <v>667</v>
      </c>
      <c r="R35" s="222"/>
      <c r="S35" s="221">
        <v>2.0</v>
      </c>
      <c r="T35" s="221">
        <v>2.0</v>
      </c>
      <c r="U35" s="2" t="s">
        <v>92</v>
      </c>
      <c r="V35" s="2" t="s">
        <v>667</v>
      </c>
      <c r="W35" s="222"/>
      <c r="X35" s="221">
        <v>2.0</v>
      </c>
      <c r="Y35" s="221">
        <v>2.0</v>
      </c>
      <c r="Z35" s="223">
        <v>2.0</v>
      </c>
      <c r="AA35" s="223">
        <v>0.0</v>
      </c>
      <c r="AB35" s="223">
        <v>0.0</v>
      </c>
      <c r="AC35" s="223">
        <v>0.0</v>
      </c>
      <c r="AD35" s="224">
        <v>0.0</v>
      </c>
      <c r="AE35" s="174">
        <f t="shared" si="1"/>
        <v>18</v>
      </c>
      <c r="AF35" s="225">
        <f t="shared" si="2"/>
        <v>-3.5</v>
      </c>
    </row>
    <row r="36">
      <c r="A36" s="216">
        <v>33.0</v>
      </c>
      <c r="B36" s="62" t="s">
        <v>90</v>
      </c>
      <c r="C36" s="59"/>
      <c r="D36" s="99" t="s">
        <v>233</v>
      </c>
      <c r="E36" s="99" t="s">
        <v>234</v>
      </c>
      <c r="F36" s="218" t="s">
        <v>92</v>
      </c>
      <c r="G36" s="2" t="s">
        <v>667</v>
      </c>
      <c r="H36" s="222"/>
      <c r="I36" s="221">
        <v>2.0</v>
      </c>
      <c r="J36" s="221">
        <v>2.0</v>
      </c>
      <c r="K36" s="2" t="s">
        <v>92</v>
      </c>
      <c r="L36" s="2" t="s">
        <v>667</v>
      </c>
      <c r="M36" s="222"/>
      <c r="N36" s="221">
        <v>2.0</v>
      </c>
      <c r="O36" s="221">
        <v>2.0</v>
      </c>
      <c r="P36" s="2" t="s">
        <v>92</v>
      </c>
      <c r="Q36" s="2" t="s">
        <v>667</v>
      </c>
      <c r="R36" s="222"/>
      <c r="S36" s="221">
        <v>2.0</v>
      </c>
      <c r="T36" s="221">
        <v>2.0</v>
      </c>
      <c r="U36" s="2" t="s">
        <v>92</v>
      </c>
      <c r="V36" s="2" t="s">
        <v>667</v>
      </c>
      <c r="W36" s="222"/>
      <c r="X36" s="221">
        <v>2.0</v>
      </c>
      <c r="Y36" s="221">
        <v>0.0</v>
      </c>
      <c r="Z36" s="223">
        <v>0.0</v>
      </c>
      <c r="AA36" s="223">
        <v>0.0</v>
      </c>
      <c r="AB36" s="223">
        <v>0.0</v>
      </c>
      <c r="AC36" s="223">
        <v>0.0</v>
      </c>
      <c r="AD36" s="224">
        <v>0.0</v>
      </c>
      <c r="AE36" s="174">
        <f t="shared" si="1"/>
        <v>14</v>
      </c>
      <c r="AF36" s="225">
        <f t="shared" si="2"/>
        <v>0.5</v>
      </c>
    </row>
    <row r="37">
      <c r="A37" s="39">
        <v>34.0</v>
      </c>
      <c r="B37" s="117" t="s">
        <v>90</v>
      </c>
      <c r="C37" s="113"/>
      <c r="D37" s="114" t="s">
        <v>243</v>
      </c>
      <c r="E37" s="114" t="s">
        <v>244</v>
      </c>
      <c r="F37" s="218" t="s">
        <v>92</v>
      </c>
      <c r="G37" s="2" t="s">
        <v>667</v>
      </c>
      <c r="H37" s="221" t="s">
        <v>709</v>
      </c>
      <c r="I37" s="221">
        <v>1.0</v>
      </c>
      <c r="J37" s="221">
        <v>1.0</v>
      </c>
      <c r="K37" s="2" t="s">
        <v>92</v>
      </c>
      <c r="L37" s="2" t="s">
        <v>667</v>
      </c>
      <c r="M37" s="221" t="s">
        <v>710</v>
      </c>
      <c r="N37" s="221">
        <v>2.0</v>
      </c>
      <c r="O37" s="221">
        <v>1.0</v>
      </c>
      <c r="P37" s="2" t="s">
        <v>92</v>
      </c>
      <c r="Q37" s="2" t="s">
        <v>667</v>
      </c>
      <c r="R37" s="222"/>
      <c r="S37" s="221">
        <v>2.0</v>
      </c>
      <c r="T37" s="221">
        <v>1.0</v>
      </c>
      <c r="U37" s="2" t="s">
        <v>92</v>
      </c>
      <c r="V37" s="2" t="s">
        <v>667</v>
      </c>
      <c r="W37" s="222"/>
      <c r="X37" s="221">
        <v>2.0</v>
      </c>
      <c r="Y37" s="221">
        <v>1.0</v>
      </c>
      <c r="Z37" s="223">
        <v>2.0</v>
      </c>
      <c r="AA37" s="223">
        <v>1.0</v>
      </c>
      <c r="AB37" s="223">
        <v>0.0</v>
      </c>
      <c r="AC37" s="223">
        <v>0.0</v>
      </c>
      <c r="AD37" s="224">
        <v>0.0</v>
      </c>
      <c r="AE37" s="174">
        <f t="shared" si="1"/>
        <v>14</v>
      </c>
      <c r="AF37" s="225">
        <f t="shared" si="2"/>
        <v>0.5</v>
      </c>
    </row>
    <row r="38">
      <c r="A38" s="216">
        <v>35.0</v>
      </c>
      <c r="B38" s="62" t="s">
        <v>90</v>
      </c>
      <c r="C38" s="55" t="s">
        <v>99</v>
      </c>
      <c r="D38" s="43" t="s">
        <v>435</v>
      </c>
      <c r="E38" s="43" t="s">
        <v>255</v>
      </c>
      <c r="F38" s="218" t="s">
        <v>92</v>
      </c>
      <c r="G38" s="2" t="s">
        <v>667</v>
      </c>
      <c r="H38" s="222"/>
      <c r="I38" s="221">
        <v>2.0</v>
      </c>
      <c r="J38" s="221">
        <v>2.0</v>
      </c>
      <c r="K38" s="2" t="s">
        <v>92</v>
      </c>
      <c r="L38" s="2" t="s">
        <v>667</v>
      </c>
      <c r="M38" s="222"/>
      <c r="N38" s="221">
        <v>2.0</v>
      </c>
      <c r="O38" s="221">
        <v>2.0</v>
      </c>
      <c r="P38" s="2" t="s">
        <v>92</v>
      </c>
      <c r="Q38" s="2" t="s">
        <v>667</v>
      </c>
      <c r="R38" s="222"/>
      <c r="S38" s="221">
        <v>2.0</v>
      </c>
      <c r="T38" s="221">
        <v>2.0</v>
      </c>
      <c r="U38" s="2" t="s">
        <v>92</v>
      </c>
      <c r="V38" s="2" t="s">
        <v>667</v>
      </c>
      <c r="W38" s="222"/>
      <c r="X38" s="221">
        <v>2.0</v>
      </c>
      <c r="Y38" s="221">
        <v>0.0</v>
      </c>
      <c r="Z38" s="223">
        <v>2.0</v>
      </c>
      <c r="AA38" s="223">
        <v>0.0</v>
      </c>
      <c r="AB38" s="223">
        <v>0.0</v>
      </c>
      <c r="AC38" s="223">
        <v>0.0</v>
      </c>
      <c r="AD38" s="224">
        <v>0.0</v>
      </c>
      <c r="AE38" s="174">
        <f t="shared" si="1"/>
        <v>16</v>
      </c>
      <c r="AF38" s="225">
        <f t="shared" si="2"/>
        <v>-1.5</v>
      </c>
    </row>
    <row r="39">
      <c r="A39" s="39">
        <v>36.0</v>
      </c>
      <c r="B39" s="62" t="s">
        <v>90</v>
      </c>
      <c r="C39" s="59"/>
      <c r="D39" s="46" t="s">
        <v>261</v>
      </c>
      <c r="E39" s="46" t="s">
        <v>444</v>
      </c>
      <c r="F39" s="218" t="s">
        <v>92</v>
      </c>
      <c r="G39" s="2" t="s">
        <v>667</v>
      </c>
      <c r="H39" s="222"/>
      <c r="I39" s="221">
        <v>0.5</v>
      </c>
      <c r="J39" s="221">
        <v>2.0</v>
      </c>
      <c r="K39" s="2" t="s">
        <v>92</v>
      </c>
      <c r="L39" s="2" t="s">
        <v>667</v>
      </c>
      <c r="M39" s="222"/>
      <c r="N39" s="221">
        <v>2.0</v>
      </c>
      <c r="O39" s="221">
        <v>2.0</v>
      </c>
      <c r="P39" s="2" t="s">
        <v>92</v>
      </c>
      <c r="Q39" s="2" t="s">
        <v>667</v>
      </c>
      <c r="R39" s="222"/>
      <c r="S39" s="221">
        <v>2.0</v>
      </c>
      <c r="T39" s="221">
        <v>2.0</v>
      </c>
      <c r="U39" s="2" t="s">
        <v>92</v>
      </c>
      <c r="V39" s="2" t="s">
        <v>667</v>
      </c>
      <c r="W39" s="222"/>
      <c r="X39" s="221">
        <v>1.5</v>
      </c>
      <c r="Y39" s="221">
        <v>1.5</v>
      </c>
      <c r="Z39" s="223">
        <v>2.0</v>
      </c>
      <c r="AA39" s="223">
        <v>0.0</v>
      </c>
      <c r="AB39" s="223">
        <v>0.0</v>
      </c>
      <c r="AC39" s="223">
        <v>0.0</v>
      </c>
      <c r="AD39" s="224">
        <v>0.0</v>
      </c>
      <c r="AE39" s="174">
        <f t="shared" si="1"/>
        <v>15.5</v>
      </c>
      <c r="AF39" s="225">
        <f t="shared" si="2"/>
        <v>-1</v>
      </c>
    </row>
    <row r="40">
      <c r="A40" s="216">
        <v>37.0</v>
      </c>
      <c r="B40" s="62" t="s">
        <v>90</v>
      </c>
      <c r="C40" s="59"/>
      <c r="D40" s="46" t="s">
        <v>270</v>
      </c>
      <c r="E40" s="46" t="s">
        <v>271</v>
      </c>
      <c r="F40" s="218" t="s">
        <v>92</v>
      </c>
      <c r="G40" s="2" t="s">
        <v>667</v>
      </c>
      <c r="H40" s="222"/>
      <c r="I40" s="221">
        <v>1.5</v>
      </c>
      <c r="J40" s="221">
        <v>2.0</v>
      </c>
      <c r="K40" s="2" t="s">
        <v>92</v>
      </c>
      <c r="L40" s="2" t="s">
        <v>667</v>
      </c>
      <c r="M40" s="222"/>
      <c r="N40" s="221">
        <v>2.0</v>
      </c>
      <c r="O40" s="221">
        <v>2.0</v>
      </c>
      <c r="P40" s="2" t="s">
        <v>92</v>
      </c>
      <c r="Q40" s="2" t="s">
        <v>667</v>
      </c>
      <c r="R40" s="222"/>
      <c r="S40" s="221">
        <v>2.0</v>
      </c>
      <c r="T40" s="221">
        <v>2.0</v>
      </c>
      <c r="U40" s="2" t="s">
        <v>92</v>
      </c>
      <c r="V40" s="2" t="s">
        <v>667</v>
      </c>
      <c r="W40" s="222"/>
      <c r="X40" s="221">
        <v>2.0</v>
      </c>
      <c r="Y40" s="221">
        <v>2.0</v>
      </c>
      <c r="Z40" s="223">
        <v>0.0</v>
      </c>
      <c r="AA40" s="223">
        <v>0.0</v>
      </c>
      <c r="AB40" s="223">
        <v>0.0</v>
      </c>
      <c r="AC40" s="223">
        <v>0.0</v>
      </c>
      <c r="AD40" s="224">
        <v>0.0</v>
      </c>
      <c r="AE40" s="174">
        <f t="shared" si="1"/>
        <v>15.5</v>
      </c>
      <c r="AF40" s="225">
        <f t="shared" si="2"/>
        <v>-1</v>
      </c>
    </row>
    <row r="41">
      <c r="A41" s="39">
        <v>38.0</v>
      </c>
      <c r="B41" s="105" t="s">
        <v>90</v>
      </c>
      <c r="C41" s="68"/>
      <c r="D41" s="70" t="s">
        <v>275</v>
      </c>
      <c r="E41" s="74" t="s">
        <v>277</v>
      </c>
      <c r="F41" s="218" t="s">
        <v>92</v>
      </c>
      <c r="G41" s="2" t="s">
        <v>667</v>
      </c>
      <c r="H41" s="221" t="s">
        <v>713</v>
      </c>
      <c r="I41" s="221">
        <v>2.0</v>
      </c>
      <c r="J41" s="221">
        <v>2.0</v>
      </c>
      <c r="K41" s="2" t="s">
        <v>92</v>
      </c>
      <c r="L41" s="2" t="s">
        <v>667</v>
      </c>
      <c r="M41" s="222"/>
      <c r="N41" s="221">
        <v>2.0</v>
      </c>
      <c r="O41" s="221">
        <v>2.0</v>
      </c>
      <c r="P41" s="167" t="s">
        <v>672</v>
      </c>
      <c r="Q41" s="167" t="s">
        <v>673</v>
      </c>
      <c r="R41" s="222"/>
      <c r="S41" s="221">
        <v>2.0</v>
      </c>
      <c r="T41" s="221">
        <v>0.0</v>
      </c>
      <c r="U41" s="2" t="s">
        <v>92</v>
      </c>
      <c r="V41" s="2" t="s">
        <v>667</v>
      </c>
      <c r="W41" s="221" t="s">
        <v>700</v>
      </c>
      <c r="X41" s="221">
        <v>2.0</v>
      </c>
      <c r="Y41" s="221">
        <v>2.0</v>
      </c>
      <c r="Z41" s="223">
        <v>2.0</v>
      </c>
      <c r="AA41" s="223">
        <v>0.0</v>
      </c>
      <c r="AB41" s="223">
        <v>0.0</v>
      </c>
      <c r="AC41" s="223">
        <v>0.0</v>
      </c>
      <c r="AD41" s="224">
        <v>1.0</v>
      </c>
      <c r="AE41" s="174">
        <f t="shared" si="1"/>
        <v>16</v>
      </c>
      <c r="AF41" s="225">
        <f t="shared" si="2"/>
        <v>-1.5</v>
      </c>
    </row>
    <row r="42">
      <c r="A42" s="216">
        <v>39.0</v>
      </c>
      <c r="B42" s="62" t="s">
        <v>90</v>
      </c>
      <c r="C42" s="59"/>
      <c r="D42" s="43" t="s">
        <v>281</v>
      </c>
      <c r="E42" s="43" t="s">
        <v>282</v>
      </c>
      <c r="F42" s="218" t="s">
        <v>92</v>
      </c>
      <c r="G42" s="2" t="s">
        <v>667</v>
      </c>
      <c r="H42" s="222"/>
      <c r="I42" s="221">
        <v>2.0</v>
      </c>
      <c r="J42" s="221">
        <v>2.0</v>
      </c>
      <c r="K42" s="2" t="s">
        <v>92</v>
      </c>
      <c r="L42" s="2" t="s">
        <v>667</v>
      </c>
      <c r="M42" s="222"/>
      <c r="N42" s="221">
        <v>2.0</v>
      </c>
      <c r="O42" s="221">
        <v>2.0</v>
      </c>
      <c r="P42" s="2" t="s">
        <v>92</v>
      </c>
      <c r="Q42" s="2" t="s">
        <v>667</v>
      </c>
      <c r="R42" s="222"/>
      <c r="S42" s="221">
        <v>2.0</v>
      </c>
      <c r="T42" s="221">
        <v>2.0</v>
      </c>
      <c r="U42" s="2" t="s">
        <v>92</v>
      </c>
      <c r="V42" s="2" t="s">
        <v>667</v>
      </c>
      <c r="W42" s="222"/>
      <c r="X42" s="221">
        <v>2.0</v>
      </c>
      <c r="Y42" s="221">
        <v>2.0</v>
      </c>
      <c r="Z42" s="223">
        <v>0.0</v>
      </c>
      <c r="AA42" s="223">
        <v>0.0</v>
      </c>
      <c r="AB42" s="223">
        <v>0.0</v>
      </c>
      <c r="AC42" s="223">
        <v>0.0</v>
      </c>
      <c r="AD42" s="224">
        <v>0.0</v>
      </c>
      <c r="AE42" s="174">
        <f t="shared" si="1"/>
        <v>16</v>
      </c>
      <c r="AF42" s="225">
        <f t="shared" si="2"/>
        <v>-1.5</v>
      </c>
    </row>
    <row r="43">
      <c r="A43" s="39">
        <v>40.0</v>
      </c>
      <c r="B43" s="117" t="s">
        <v>90</v>
      </c>
      <c r="C43" s="113"/>
      <c r="D43" s="115" t="s">
        <v>289</v>
      </c>
      <c r="E43" s="115" t="s">
        <v>246</v>
      </c>
      <c r="F43" s="218" t="s">
        <v>92</v>
      </c>
      <c r="G43" s="2" t="s">
        <v>667</v>
      </c>
      <c r="H43" s="222"/>
      <c r="I43" s="221">
        <v>2.0</v>
      </c>
      <c r="J43" s="221">
        <v>1.0</v>
      </c>
      <c r="K43" s="2" t="s">
        <v>92</v>
      </c>
      <c r="L43" s="2" t="s">
        <v>667</v>
      </c>
      <c r="M43" s="222"/>
      <c r="N43" s="221">
        <v>2.0</v>
      </c>
      <c r="O43" s="221">
        <v>1.0</v>
      </c>
      <c r="P43" s="2" t="s">
        <v>92</v>
      </c>
      <c r="Q43" s="2" t="s">
        <v>667</v>
      </c>
      <c r="R43" s="222"/>
      <c r="S43" s="221">
        <v>2.0</v>
      </c>
      <c r="T43" s="221">
        <v>1.0</v>
      </c>
      <c r="U43" s="2" t="s">
        <v>92</v>
      </c>
      <c r="V43" s="2" t="s">
        <v>667</v>
      </c>
      <c r="W43" s="221" t="s">
        <v>714</v>
      </c>
      <c r="X43" s="221">
        <v>2.0</v>
      </c>
      <c r="Y43" s="221">
        <v>0.0</v>
      </c>
      <c r="Z43" s="223">
        <v>2.0</v>
      </c>
      <c r="AA43" s="223">
        <v>1.0</v>
      </c>
      <c r="AB43" s="223">
        <v>0.0</v>
      </c>
      <c r="AC43" s="223">
        <v>0.0</v>
      </c>
      <c r="AD43" s="224">
        <v>0.0</v>
      </c>
      <c r="AE43" s="174">
        <f t="shared" si="1"/>
        <v>14</v>
      </c>
      <c r="AF43" s="225">
        <f t="shared" si="2"/>
        <v>0.5</v>
      </c>
    </row>
    <row r="44">
      <c r="A44" s="216">
        <v>41.0</v>
      </c>
      <c r="B44" s="62" t="s">
        <v>90</v>
      </c>
      <c r="C44" s="59"/>
      <c r="D44" s="46" t="s">
        <v>294</v>
      </c>
      <c r="E44" s="46" t="s">
        <v>295</v>
      </c>
      <c r="F44" s="218" t="s">
        <v>92</v>
      </c>
      <c r="G44" s="2" t="s">
        <v>667</v>
      </c>
      <c r="H44" s="222"/>
      <c r="I44" s="221">
        <v>2.0</v>
      </c>
      <c r="J44" s="221">
        <v>2.0</v>
      </c>
      <c r="K44" s="2" t="s">
        <v>92</v>
      </c>
      <c r="L44" s="2" t="s">
        <v>667</v>
      </c>
      <c r="M44" s="222"/>
      <c r="N44" s="221">
        <v>2.0</v>
      </c>
      <c r="O44" s="221">
        <v>2.0</v>
      </c>
      <c r="P44" s="2" t="s">
        <v>92</v>
      </c>
      <c r="Q44" s="2" t="s">
        <v>667</v>
      </c>
      <c r="R44" s="222"/>
      <c r="S44" s="221">
        <v>2.0</v>
      </c>
      <c r="T44" s="221">
        <v>2.0</v>
      </c>
      <c r="U44" s="2" t="s">
        <v>92</v>
      </c>
      <c r="V44" s="2" t="s">
        <v>667</v>
      </c>
      <c r="W44" s="222"/>
      <c r="X44" s="221">
        <v>2.0</v>
      </c>
      <c r="Y44" s="221">
        <v>2.0</v>
      </c>
      <c r="Z44" s="223">
        <v>0.0</v>
      </c>
      <c r="AA44" s="223">
        <v>0.0</v>
      </c>
      <c r="AB44" s="223">
        <v>0.0</v>
      </c>
      <c r="AC44" s="223">
        <v>0.0</v>
      </c>
      <c r="AD44" s="224">
        <v>0.0</v>
      </c>
      <c r="AE44" s="174">
        <f t="shared" si="1"/>
        <v>16</v>
      </c>
      <c r="AF44" s="225">
        <f t="shared" si="2"/>
        <v>-1.5</v>
      </c>
    </row>
    <row r="45">
      <c r="A45" s="39">
        <v>42.0</v>
      </c>
      <c r="B45" s="62" t="s">
        <v>90</v>
      </c>
      <c r="C45" s="59"/>
      <c r="D45" s="36" t="s">
        <v>304</v>
      </c>
      <c r="E45" s="36" t="s">
        <v>305</v>
      </c>
      <c r="F45" s="218" t="s">
        <v>92</v>
      </c>
      <c r="G45" s="2" t="s">
        <v>667</v>
      </c>
      <c r="H45" s="222"/>
      <c r="I45" s="221">
        <v>2.0</v>
      </c>
      <c r="J45" s="221">
        <v>2.0</v>
      </c>
      <c r="K45" s="2" t="s">
        <v>92</v>
      </c>
      <c r="L45" s="2" t="s">
        <v>667</v>
      </c>
      <c r="M45" s="222"/>
      <c r="N45" s="221">
        <v>2.0</v>
      </c>
      <c r="O45" s="221">
        <v>2.0</v>
      </c>
      <c r="P45" s="2" t="s">
        <v>92</v>
      </c>
      <c r="Q45" s="2" t="s">
        <v>667</v>
      </c>
      <c r="R45" s="222"/>
      <c r="S45" s="221">
        <v>2.0</v>
      </c>
      <c r="T45" s="221">
        <v>2.0</v>
      </c>
      <c r="U45" s="2" t="s">
        <v>92</v>
      </c>
      <c r="V45" s="2" t="s">
        <v>667</v>
      </c>
      <c r="W45" s="222"/>
      <c r="X45" s="221">
        <v>2.0</v>
      </c>
      <c r="Y45" s="221">
        <v>2.0</v>
      </c>
      <c r="Z45" s="223">
        <v>0.0</v>
      </c>
      <c r="AA45" s="223">
        <v>0.0</v>
      </c>
      <c r="AB45" s="223">
        <v>0.0</v>
      </c>
      <c r="AC45" s="223">
        <v>0.0</v>
      </c>
      <c r="AD45" s="224">
        <v>0.0</v>
      </c>
      <c r="AE45" s="174">
        <f t="shared" si="1"/>
        <v>16</v>
      </c>
      <c r="AF45" s="225">
        <f t="shared" si="2"/>
        <v>-1.5</v>
      </c>
    </row>
    <row r="46">
      <c r="A46" s="216">
        <v>43.0</v>
      </c>
      <c r="B46" s="62" t="s">
        <v>90</v>
      </c>
      <c r="C46" s="55" t="s">
        <v>99</v>
      </c>
      <c r="D46" s="46" t="s">
        <v>313</v>
      </c>
      <c r="E46" s="46" t="s">
        <v>315</v>
      </c>
      <c r="F46" s="218" t="s">
        <v>92</v>
      </c>
      <c r="G46" s="2" t="s">
        <v>667</v>
      </c>
      <c r="H46" s="222"/>
      <c r="I46" s="221">
        <v>2.0</v>
      </c>
      <c r="J46" s="221">
        <v>2.0</v>
      </c>
      <c r="K46" s="2" t="s">
        <v>92</v>
      </c>
      <c r="L46" s="2" t="s">
        <v>667</v>
      </c>
      <c r="M46" s="222"/>
      <c r="N46" s="221">
        <v>2.0</v>
      </c>
      <c r="O46" s="221">
        <v>2.0</v>
      </c>
      <c r="P46" s="2" t="s">
        <v>92</v>
      </c>
      <c r="Q46" s="2" t="s">
        <v>667</v>
      </c>
      <c r="R46" s="222"/>
      <c r="S46" s="221">
        <v>2.0</v>
      </c>
      <c r="T46" s="221">
        <v>2.0</v>
      </c>
      <c r="U46" s="2" t="s">
        <v>92</v>
      </c>
      <c r="V46" s="2" t="s">
        <v>667</v>
      </c>
      <c r="W46" s="222"/>
      <c r="X46" s="221">
        <v>2.0</v>
      </c>
      <c r="Y46" s="221">
        <v>2.0</v>
      </c>
      <c r="Z46" s="223">
        <v>2.0</v>
      </c>
      <c r="AA46" s="223">
        <v>0.0</v>
      </c>
      <c r="AB46" s="223">
        <v>0.0</v>
      </c>
      <c r="AC46" s="223">
        <v>0.0</v>
      </c>
      <c r="AD46" s="224">
        <v>0.0</v>
      </c>
      <c r="AE46" s="174">
        <f t="shared" si="1"/>
        <v>18</v>
      </c>
      <c r="AF46" s="225">
        <f t="shared" si="2"/>
        <v>-3.5</v>
      </c>
    </row>
    <row r="47">
      <c r="A47" s="39">
        <v>44.0</v>
      </c>
      <c r="B47" s="62" t="s">
        <v>90</v>
      </c>
      <c r="C47" s="59"/>
      <c r="D47" s="46" t="s">
        <v>328</v>
      </c>
      <c r="E47" s="46" t="s">
        <v>321</v>
      </c>
      <c r="F47" s="218" t="s">
        <v>92</v>
      </c>
      <c r="G47" s="2" t="s">
        <v>667</v>
      </c>
      <c r="H47" s="222"/>
      <c r="I47" s="221">
        <v>2.0</v>
      </c>
      <c r="J47" s="221">
        <v>2.0</v>
      </c>
      <c r="K47" s="2" t="s">
        <v>92</v>
      </c>
      <c r="L47" s="2" t="s">
        <v>667</v>
      </c>
      <c r="M47" s="221" t="s">
        <v>668</v>
      </c>
      <c r="N47" s="221">
        <v>2.0</v>
      </c>
      <c r="O47" s="221">
        <v>2.0</v>
      </c>
      <c r="P47" s="2" t="s">
        <v>92</v>
      </c>
      <c r="Q47" s="2" t="s">
        <v>667</v>
      </c>
      <c r="R47" s="222"/>
      <c r="S47" s="221">
        <v>2.0</v>
      </c>
      <c r="T47" s="221">
        <v>2.0</v>
      </c>
      <c r="U47" s="2" t="s">
        <v>92</v>
      </c>
      <c r="V47" s="2" t="s">
        <v>667</v>
      </c>
      <c r="W47" s="222"/>
      <c r="X47" s="221">
        <v>2.0</v>
      </c>
      <c r="Y47" s="221">
        <v>0.0</v>
      </c>
      <c r="Z47" s="223">
        <v>2.0</v>
      </c>
      <c r="AA47" s="223">
        <v>0.0</v>
      </c>
      <c r="AB47" s="223">
        <v>0.0</v>
      </c>
      <c r="AC47" s="223">
        <v>0.0</v>
      </c>
      <c r="AD47" s="224">
        <v>0.0</v>
      </c>
      <c r="AE47" s="174">
        <f t="shared" si="1"/>
        <v>16</v>
      </c>
      <c r="AF47" s="225">
        <f t="shared" si="2"/>
        <v>-1.5</v>
      </c>
    </row>
    <row r="48">
      <c r="A48" s="216">
        <v>45.0</v>
      </c>
      <c r="B48" s="62" t="s">
        <v>90</v>
      </c>
      <c r="C48" s="59"/>
      <c r="D48" s="46" t="s">
        <v>337</v>
      </c>
      <c r="E48" s="46" t="s">
        <v>488</v>
      </c>
      <c r="F48" s="218" t="s">
        <v>92</v>
      </c>
      <c r="G48" s="2" t="s">
        <v>667</v>
      </c>
      <c r="H48" s="222"/>
      <c r="I48" s="221">
        <v>2.0</v>
      </c>
      <c r="J48" s="221">
        <v>2.0</v>
      </c>
      <c r="K48" s="2" t="s">
        <v>92</v>
      </c>
      <c r="L48" s="2" t="s">
        <v>667</v>
      </c>
      <c r="M48" s="221" t="s">
        <v>668</v>
      </c>
      <c r="N48" s="221">
        <v>2.0</v>
      </c>
      <c r="O48" s="221">
        <v>1.0</v>
      </c>
      <c r="P48" s="2" t="s">
        <v>92</v>
      </c>
      <c r="Q48" s="2" t="s">
        <v>667</v>
      </c>
      <c r="R48" s="222"/>
      <c r="S48" s="221">
        <v>2.0</v>
      </c>
      <c r="T48" s="221">
        <v>2.0</v>
      </c>
      <c r="U48" s="2" t="s">
        <v>92</v>
      </c>
      <c r="V48" s="2" t="s">
        <v>667</v>
      </c>
      <c r="W48" s="222"/>
      <c r="X48" s="221">
        <v>2.0</v>
      </c>
      <c r="Y48" s="221">
        <v>2.0</v>
      </c>
      <c r="Z48" s="223">
        <v>0.0</v>
      </c>
      <c r="AA48" s="223">
        <v>0.0</v>
      </c>
      <c r="AB48" s="223">
        <v>0.0</v>
      </c>
      <c r="AC48" s="223">
        <v>0.0</v>
      </c>
      <c r="AD48" s="224">
        <v>0.0</v>
      </c>
      <c r="AE48" s="174">
        <f t="shared" si="1"/>
        <v>15</v>
      </c>
      <c r="AF48" s="225">
        <f t="shared" si="2"/>
        <v>-0.5</v>
      </c>
    </row>
    <row r="49">
      <c r="A49" s="39">
        <v>46.0</v>
      </c>
      <c r="B49" s="62" t="s">
        <v>90</v>
      </c>
      <c r="C49" s="55" t="s">
        <v>99</v>
      </c>
      <c r="D49" s="46" t="s">
        <v>343</v>
      </c>
      <c r="E49" s="46" t="s">
        <v>166</v>
      </c>
      <c r="F49" s="218" t="s">
        <v>92</v>
      </c>
      <c r="G49" s="2" t="s">
        <v>667</v>
      </c>
      <c r="H49" s="222"/>
      <c r="I49" s="221">
        <v>2.0</v>
      </c>
      <c r="J49" s="221">
        <v>2.0</v>
      </c>
      <c r="K49" s="2" t="s">
        <v>92</v>
      </c>
      <c r="L49" s="2" t="s">
        <v>667</v>
      </c>
      <c r="M49" s="222"/>
      <c r="N49" s="221">
        <v>2.0</v>
      </c>
      <c r="O49" s="221">
        <v>2.0</v>
      </c>
      <c r="P49" s="2" t="s">
        <v>92</v>
      </c>
      <c r="Q49" s="2" t="s">
        <v>667</v>
      </c>
      <c r="R49" s="222"/>
      <c r="S49" s="221">
        <v>2.0</v>
      </c>
      <c r="T49" s="221">
        <v>2.0</v>
      </c>
      <c r="U49" s="2" t="s">
        <v>92</v>
      </c>
      <c r="V49" s="2" t="s">
        <v>667</v>
      </c>
      <c r="W49" s="222"/>
      <c r="X49" s="221">
        <v>2.0</v>
      </c>
      <c r="Y49" s="221">
        <v>2.0</v>
      </c>
      <c r="Z49" s="223">
        <v>0.0</v>
      </c>
      <c r="AA49" s="223">
        <v>0.0</v>
      </c>
      <c r="AB49" s="223">
        <v>0.0</v>
      </c>
      <c r="AC49" s="223">
        <v>0.0</v>
      </c>
      <c r="AD49" s="224">
        <v>0.0</v>
      </c>
      <c r="AE49" s="174">
        <f t="shared" si="1"/>
        <v>16</v>
      </c>
      <c r="AF49" s="225">
        <f t="shared" si="2"/>
        <v>-1.5</v>
      </c>
    </row>
    <row r="50">
      <c r="A50" s="216">
        <v>47.0</v>
      </c>
      <c r="B50" s="62" t="s">
        <v>90</v>
      </c>
      <c r="C50" s="59"/>
      <c r="D50" s="46" t="s">
        <v>352</v>
      </c>
      <c r="E50" s="46" t="s">
        <v>353</v>
      </c>
      <c r="F50" s="218" t="s">
        <v>92</v>
      </c>
      <c r="G50" s="2" t="s">
        <v>667</v>
      </c>
      <c r="H50" s="222"/>
      <c r="I50" s="221">
        <v>2.0</v>
      </c>
      <c r="J50" s="221">
        <v>2.0</v>
      </c>
      <c r="K50" s="2" t="s">
        <v>92</v>
      </c>
      <c r="L50" s="2" t="s">
        <v>667</v>
      </c>
      <c r="M50" s="221" t="s">
        <v>668</v>
      </c>
      <c r="N50" s="221">
        <v>2.0</v>
      </c>
      <c r="O50" s="221">
        <v>2.0</v>
      </c>
      <c r="P50" s="2" t="s">
        <v>92</v>
      </c>
      <c r="Q50" s="2" t="s">
        <v>667</v>
      </c>
      <c r="R50" s="222"/>
      <c r="S50" s="221">
        <v>2.0</v>
      </c>
      <c r="T50" s="221">
        <v>2.0</v>
      </c>
      <c r="U50" s="2" t="s">
        <v>92</v>
      </c>
      <c r="V50" s="2" t="s">
        <v>667</v>
      </c>
      <c r="W50" s="222"/>
      <c r="X50" s="221">
        <v>2.0</v>
      </c>
      <c r="Y50" s="221">
        <v>2.0</v>
      </c>
      <c r="Z50" s="223">
        <v>0.0</v>
      </c>
      <c r="AA50" s="223">
        <v>0.0</v>
      </c>
      <c r="AB50" s="223">
        <v>0.0</v>
      </c>
      <c r="AC50" s="223">
        <v>0.0</v>
      </c>
      <c r="AD50" s="224">
        <v>0.0</v>
      </c>
      <c r="AE50" s="174">
        <f t="shared" si="1"/>
        <v>16</v>
      </c>
      <c r="AF50" s="225">
        <f t="shared" si="2"/>
        <v>-1.5</v>
      </c>
    </row>
    <row r="51">
      <c r="A51" s="39">
        <v>48.0</v>
      </c>
      <c r="B51" s="62" t="s">
        <v>90</v>
      </c>
      <c r="C51" s="59"/>
      <c r="D51" s="36" t="s">
        <v>363</v>
      </c>
      <c r="E51" s="36" t="s">
        <v>364</v>
      </c>
      <c r="F51" s="218" t="s">
        <v>92</v>
      </c>
      <c r="G51" s="2" t="s">
        <v>667</v>
      </c>
      <c r="H51" s="222"/>
      <c r="I51" s="221">
        <v>2.0</v>
      </c>
      <c r="J51" s="221">
        <v>2.0</v>
      </c>
      <c r="K51" s="2" t="s">
        <v>92</v>
      </c>
      <c r="L51" s="2" t="s">
        <v>667</v>
      </c>
      <c r="M51" s="221" t="s">
        <v>668</v>
      </c>
      <c r="N51" s="221">
        <v>1.0</v>
      </c>
      <c r="O51" s="221">
        <v>2.0</v>
      </c>
      <c r="P51" s="167" t="s">
        <v>672</v>
      </c>
      <c r="Q51" s="167" t="s">
        <v>673</v>
      </c>
      <c r="R51" s="222"/>
      <c r="S51" s="221">
        <v>2.0</v>
      </c>
      <c r="T51" s="221">
        <v>0.0</v>
      </c>
      <c r="U51" s="2" t="s">
        <v>92</v>
      </c>
      <c r="V51" s="2" t="s">
        <v>667</v>
      </c>
      <c r="W51" s="221" t="s">
        <v>700</v>
      </c>
      <c r="X51" s="221">
        <v>0.0</v>
      </c>
      <c r="Y51" s="221">
        <v>2.0</v>
      </c>
      <c r="Z51" s="223">
        <v>2.0</v>
      </c>
      <c r="AA51" s="223">
        <v>0.0</v>
      </c>
      <c r="AB51" s="223">
        <v>0.0</v>
      </c>
      <c r="AC51" s="223">
        <v>0.0</v>
      </c>
      <c r="AD51" s="224">
        <v>1.0</v>
      </c>
      <c r="AE51" s="174">
        <f t="shared" si="1"/>
        <v>13</v>
      </c>
      <c r="AF51" s="225">
        <f t="shared" si="2"/>
        <v>1.5</v>
      </c>
    </row>
    <row r="52">
      <c r="A52" s="216">
        <v>49.0</v>
      </c>
      <c r="B52" s="62" t="s">
        <v>90</v>
      </c>
      <c r="C52" s="59"/>
      <c r="D52" s="46" t="s">
        <v>372</v>
      </c>
      <c r="E52" s="46" t="s">
        <v>373</v>
      </c>
      <c r="F52" s="218" t="s">
        <v>92</v>
      </c>
      <c r="G52" s="2" t="s">
        <v>667</v>
      </c>
      <c r="H52" s="222"/>
      <c r="I52" s="221">
        <v>2.0</v>
      </c>
      <c r="J52" s="221">
        <v>2.0</v>
      </c>
      <c r="K52" s="2" t="s">
        <v>92</v>
      </c>
      <c r="L52" s="2" t="s">
        <v>667</v>
      </c>
      <c r="M52" s="222"/>
      <c r="N52" s="221">
        <v>2.0</v>
      </c>
      <c r="O52" s="221">
        <v>1.0</v>
      </c>
      <c r="P52" s="2" t="s">
        <v>92</v>
      </c>
      <c r="Q52" s="2" t="s">
        <v>667</v>
      </c>
      <c r="R52" s="222"/>
      <c r="S52" s="221">
        <v>2.0</v>
      </c>
      <c r="T52" s="221">
        <v>2.0</v>
      </c>
      <c r="U52" s="2" t="s">
        <v>92</v>
      </c>
      <c r="V52" s="2" t="s">
        <v>667</v>
      </c>
      <c r="W52" s="222"/>
      <c r="X52" s="221">
        <v>2.0</v>
      </c>
      <c r="Y52" s="221">
        <v>2.0</v>
      </c>
      <c r="Z52" s="223">
        <v>0.0</v>
      </c>
      <c r="AA52" s="223">
        <v>0.0</v>
      </c>
      <c r="AB52" s="223">
        <v>0.0</v>
      </c>
      <c r="AC52" s="223">
        <v>0.0</v>
      </c>
      <c r="AD52" s="224">
        <v>0.0</v>
      </c>
      <c r="AE52" s="174">
        <f t="shared" si="1"/>
        <v>15</v>
      </c>
      <c r="AF52" s="225">
        <f t="shared" si="2"/>
        <v>-0.5</v>
      </c>
    </row>
    <row r="53">
      <c r="A53" s="39">
        <v>50.0</v>
      </c>
      <c r="B53" s="62" t="s">
        <v>90</v>
      </c>
      <c r="C53" s="59"/>
      <c r="D53" s="46" t="s">
        <v>378</v>
      </c>
      <c r="E53" s="46" t="s">
        <v>380</v>
      </c>
      <c r="F53" s="218" t="s">
        <v>92</v>
      </c>
      <c r="G53" s="2" t="s">
        <v>667</v>
      </c>
      <c r="H53" s="222"/>
      <c r="I53" s="221">
        <v>2.0</v>
      </c>
      <c r="J53" s="221">
        <v>2.0</v>
      </c>
      <c r="K53" s="2" t="s">
        <v>92</v>
      </c>
      <c r="L53" s="2" t="s">
        <v>667</v>
      </c>
      <c r="M53" s="222"/>
      <c r="N53" s="221">
        <v>2.0</v>
      </c>
      <c r="O53" s="221">
        <v>2.0</v>
      </c>
      <c r="P53" s="2" t="s">
        <v>92</v>
      </c>
      <c r="Q53" s="2" t="s">
        <v>667</v>
      </c>
      <c r="R53" s="222"/>
      <c r="S53" s="221">
        <v>2.0</v>
      </c>
      <c r="T53" s="221">
        <v>2.0</v>
      </c>
      <c r="U53" s="2" t="s">
        <v>92</v>
      </c>
      <c r="V53" s="2" t="s">
        <v>667</v>
      </c>
      <c r="W53" s="222"/>
      <c r="X53" s="221">
        <v>2.0</v>
      </c>
      <c r="Y53" s="221">
        <v>2.0</v>
      </c>
      <c r="Z53" s="223">
        <v>0.0</v>
      </c>
      <c r="AA53" s="223">
        <v>0.0</v>
      </c>
      <c r="AB53" s="223">
        <v>0.0</v>
      </c>
      <c r="AC53" s="223">
        <v>0.0</v>
      </c>
      <c r="AD53" s="224">
        <v>0.0</v>
      </c>
      <c r="AE53" s="174">
        <f t="shared" si="1"/>
        <v>16</v>
      </c>
      <c r="AF53" s="225">
        <f t="shared" si="2"/>
        <v>-1.5</v>
      </c>
    </row>
    <row r="54">
      <c r="A54" s="216">
        <v>51.0</v>
      </c>
      <c r="B54" s="62" t="s">
        <v>90</v>
      </c>
      <c r="C54" s="59"/>
      <c r="D54" s="46" t="s">
        <v>382</v>
      </c>
      <c r="E54" s="46" t="s">
        <v>527</v>
      </c>
      <c r="F54" s="218" t="s">
        <v>92</v>
      </c>
      <c r="G54" s="2" t="s">
        <v>667</v>
      </c>
      <c r="H54" s="221" t="s">
        <v>703</v>
      </c>
      <c r="I54" s="221">
        <v>2.0</v>
      </c>
      <c r="J54" s="221">
        <v>2.0</v>
      </c>
      <c r="K54" s="2" t="s">
        <v>92</v>
      </c>
      <c r="L54" s="2" t="s">
        <v>667</v>
      </c>
      <c r="M54" s="222"/>
      <c r="N54" s="221">
        <v>2.0</v>
      </c>
      <c r="O54" s="221">
        <v>2.0</v>
      </c>
      <c r="P54" s="2" t="s">
        <v>92</v>
      </c>
      <c r="Q54" s="2" t="s">
        <v>667</v>
      </c>
      <c r="R54" s="222"/>
      <c r="S54" s="221">
        <v>2.0</v>
      </c>
      <c r="T54" s="221">
        <v>2.0</v>
      </c>
      <c r="U54" s="2" t="s">
        <v>92</v>
      </c>
      <c r="V54" s="2" t="s">
        <v>667</v>
      </c>
      <c r="W54" s="222"/>
      <c r="X54" s="221">
        <v>2.0</v>
      </c>
      <c r="Y54" s="221">
        <v>2.0</v>
      </c>
      <c r="Z54" s="223">
        <v>0.0</v>
      </c>
      <c r="AA54" s="223">
        <v>0.0</v>
      </c>
      <c r="AB54" s="223">
        <v>0.0</v>
      </c>
      <c r="AC54" s="223">
        <v>0.0</v>
      </c>
      <c r="AD54" s="224">
        <v>0.0</v>
      </c>
      <c r="AE54" s="174">
        <f t="shared" si="1"/>
        <v>16</v>
      </c>
      <c r="AF54" s="225">
        <f t="shared" si="2"/>
        <v>-1.5</v>
      </c>
    </row>
    <row r="55">
      <c r="A55" s="39">
        <v>52.0</v>
      </c>
      <c r="B55" s="62" t="s">
        <v>90</v>
      </c>
      <c r="C55" s="59"/>
      <c r="D55" s="29" t="s">
        <v>386</v>
      </c>
      <c r="E55" s="29" t="s">
        <v>387</v>
      </c>
      <c r="F55" s="218" t="s">
        <v>92</v>
      </c>
      <c r="G55" s="2" t="s">
        <v>667</v>
      </c>
      <c r="H55" s="222"/>
      <c r="I55" s="221">
        <v>2.0</v>
      </c>
      <c r="J55" s="221">
        <v>2.0</v>
      </c>
      <c r="K55" s="2" t="s">
        <v>92</v>
      </c>
      <c r="L55" s="2" t="s">
        <v>667</v>
      </c>
      <c r="M55" s="222"/>
      <c r="N55" s="221">
        <v>0.0</v>
      </c>
      <c r="O55" s="221">
        <v>2.0</v>
      </c>
      <c r="P55" s="2" t="s">
        <v>92</v>
      </c>
      <c r="Q55" s="2" t="s">
        <v>667</v>
      </c>
      <c r="R55" s="222"/>
      <c r="S55" s="221">
        <v>2.0</v>
      </c>
      <c r="T55" s="221">
        <v>2.0</v>
      </c>
      <c r="U55" s="2" t="s">
        <v>92</v>
      </c>
      <c r="V55" s="2" t="s">
        <v>667</v>
      </c>
      <c r="W55" s="222"/>
      <c r="X55" s="221">
        <v>2.0</v>
      </c>
      <c r="Y55" s="221">
        <v>2.0</v>
      </c>
      <c r="Z55" s="223">
        <v>0.0</v>
      </c>
      <c r="AA55" s="223">
        <v>0.0</v>
      </c>
      <c r="AB55" s="223">
        <v>0.0</v>
      </c>
      <c r="AC55" s="223">
        <v>0.0</v>
      </c>
      <c r="AD55" s="224">
        <v>0.0</v>
      </c>
      <c r="AE55" s="174">
        <f t="shared" si="1"/>
        <v>14</v>
      </c>
      <c r="AF55" s="225">
        <f t="shared" si="2"/>
        <v>0.5</v>
      </c>
    </row>
    <row r="56">
      <c r="A56" s="216">
        <v>53.0</v>
      </c>
      <c r="B56" s="121" t="s">
        <v>90</v>
      </c>
      <c r="C56" s="57"/>
      <c r="D56" s="46" t="s">
        <v>390</v>
      </c>
      <c r="E56" s="46" t="s">
        <v>391</v>
      </c>
      <c r="F56" s="218" t="s">
        <v>92</v>
      </c>
      <c r="G56" s="2" t="s">
        <v>667</v>
      </c>
      <c r="H56" s="221" t="s">
        <v>699</v>
      </c>
      <c r="I56" s="221">
        <v>2.0</v>
      </c>
      <c r="J56" s="221">
        <v>2.0</v>
      </c>
      <c r="K56" s="2" t="s">
        <v>92</v>
      </c>
      <c r="L56" s="2" t="s">
        <v>667</v>
      </c>
      <c r="M56" s="221" t="s">
        <v>717</v>
      </c>
      <c r="N56" s="221">
        <v>2.0</v>
      </c>
      <c r="O56" s="221">
        <v>2.0</v>
      </c>
      <c r="P56" s="2" t="s">
        <v>92</v>
      </c>
      <c r="Q56" s="2" t="s">
        <v>667</v>
      </c>
      <c r="R56" s="222"/>
      <c r="S56" s="221">
        <v>2.0</v>
      </c>
      <c r="T56" s="221">
        <v>2.0</v>
      </c>
      <c r="U56" s="167" t="s">
        <v>672</v>
      </c>
      <c r="V56" s="167" t="s">
        <v>673</v>
      </c>
      <c r="W56" s="222"/>
      <c r="X56" s="221">
        <v>0.0</v>
      </c>
      <c r="Y56" s="221">
        <v>0.0</v>
      </c>
      <c r="Z56" s="223">
        <v>2.0</v>
      </c>
      <c r="AA56" s="223">
        <v>0.0</v>
      </c>
      <c r="AB56" s="223">
        <v>0.0</v>
      </c>
      <c r="AC56" s="223">
        <v>0.0</v>
      </c>
      <c r="AD56" s="224">
        <v>1.0</v>
      </c>
      <c r="AE56" s="174">
        <f t="shared" si="1"/>
        <v>14</v>
      </c>
      <c r="AF56" s="225">
        <f t="shared" si="2"/>
        <v>0.5</v>
      </c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16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</sheetData>
  <mergeCells count="7">
    <mergeCell ref="F1:Z1"/>
    <mergeCell ref="I2:J2"/>
    <mergeCell ref="N2:O2"/>
    <mergeCell ref="S2:T2"/>
    <mergeCell ref="X2:Y2"/>
    <mergeCell ref="Z2:AA2"/>
    <mergeCell ref="AB2:AC2"/>
  </mergeCells>
  <dataValidations>
    <dataValidation type="list" allowBlank="1" showErrorMessage="1" sqref="G4:G56 L4:L56 Q4:Q56 V4:V56">
      <formula1>"Online/permission granted,In class,Group Assignment,Absent,Online/Sick,Online/ NO permission ,Public Holiday,In class/Lesson not attended in full,Reported absent"</formula1>
    </dataValidation>
    <dataValidation type="list" allowBlank="1" showErrorMessage="1" sqref="F4:F56 K4:K56 P4:P56 U4:U56">
      <formula1>"Yes,No "</formula1>
    </dataValidation>
    <dataValidation type="list" allowBlank="1" showErrorMessage="1" sqref="AD4:AD56">
      <formula1>"0,1,2,3,4"</formula1>
    </dataValidation>
    <dataValidation type="list" allowBlank="1" showErrorMessage="1" sqref="I4:J56 N4:O56 S4:T56 X4:AC56">
      <formula1>"0,2,1.5,1,0.5"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5.63"/>
    <col customWidth="1" min="2" max="2" width="9.25"/>
    <col customWidth="1" min="3" max="3" width="8.63"/>
    <col customWidth="1" min="5" max="5" width="16.5"/>
    <col customWidth="1" min="7" max="7" width="12.75"/>
    <col customWidth="1" min="8" max="8" width="22.38"/>
    <col customWidth="1" min="13" max="13" width="24.88"/>
    <col customWidth="1" min="18" max="18" width="28.25"/>
    <col customWidth="1" min="23" max="23" width="24.75"/>
  </cols>
  <sheetData>
    <row r="1" ht="21.75" customHeight="1">
      <c r="A1" s="2"/>
      <c r="B1" s="2"/>
      <c r="C1" s="2"/>
      <c r="D1" s="2"/>
      <c r="E1" s="2"/>
      <c r="F1" s="187" t="s">
        <v>640</v>
      </c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188" t="s">
        <v>641</v>
      </c>
      <c r="G2" s="188" t="s">
        <v>695</v>
      </c>
      <c r="H2" s="189"/>
      <c r="I2" s="190" t="s">
        <v>643</v>
      </c>
      <c r="J2" s="191"/>
      <c r="K2" s="192" t="s">
        <v>641</v>
      </c>
      <c r="L2" s="192" t="s">
        <v>696</v>
      </c>
      <c r="M2" s="193"/>
      <c r="N2" s="194" t="s">
        <v>643</v>
      </c>
      <c r="O2" s="191"/>
      <c r="P2" s="195" t="s">
        <v>641</v>
      </c>
      <c r="Q2" s="195" t="s">
        <v>697</v>
      </c>
      <c r="R2" s="196"/>
      <c r="S2" s="197" t="s">
        <v>643</v>
      </c>
      <c r="T2" s="191"/>
      <c r="U2" s="198" t="s">
        <v>641</v>
      </c>
      <c r="V2" s="198" t="s">
        <v>698</v>
      </c>
      <c r="W2" s="199"/>
      <c r="X2" s="200" t="s">
        <v>643</v>
      </c>
      <c r="Y2" s="191"/>
      <c r="Z2" s="201" t="s">
        <v>647</v>
      </c>
      <c r="AA2" s="185"/>
      <c r="AB2" s="201" t="s">
        <v>648</v>
      </c>
      <c r="AC2" s="185"/>
      <c r="AD2" s="31"/>
      <c r="AE2" s="31"/>
      <c r="AF2" s="31"/>
    </row>
    <row r="3">
      <c r="A3" s="202" t="s">
        <v>649</v>
      </c>
      <c r="B3" s="203" t="s">
        <v>650</v>
      </c>
      <c r="C3" s="202" t="s">
        <v>651</v>
      </c>
      <c r="D3" s="202" t="s">
        <v>652</v>
      </c>
      <c r="E3" s="202" t="s">
        <v>7</v>
      </c>
      <c r="F3" s="204" t="s">
        <v>653</v>
      </c>
      <c r="G3" s="205" t="s">
        <v>654</v>
      </c>
      <c r="H3" s="205" t="s">
        <v>655</v>
      </c>
      <c r="I3" s="206" t="s">
        <v>656</v>
      </c>
      <c r="J3" s="206" t="s">
        <v>657</v>
      </c>
      <c r="K3" s="207" t="s">
        <v>658</v>
      </c>
      <c r="L3" s="208" t="s">
        <v>654</v>
      </c>
      <c r="M3" s="208" t="s">
        <v>655</v>
      </c>
      <c r="N3" s="208" t="s">
        <v>656</v>
      </c>
      <c r="O3" s="207" t="s">
        <v>657</v>
      </c>
      <c r="P3" s="209" t="s">
        <v>659</v>
      </c>
      <c r="Q3" s="209" t="s">
        <v>654</v>
      </c>
      <c r="R3" s="210" t="s">
        <v>655</v>
      </c>
      <c r="S3" s="210" t="s">
        <v>656</v>
      </c>
      <c r="T3" s="210" t="s">
        <v>657</v>
      </c>
      <c r="U3" s="211" t="s">
        <v>660</v>
      </c>
      <c r="V3" s="211" t="s">
        <v>654</v>
      </c>
      <c r="W3" s="212" t="s">
        <v>655</v>
      </c>
      <c r="X3" s="211" t="s">
        <v>656</v>
      </c>
      <c r="Y3" s="212" t="s">
        <v>657</v>
      </c>
      <c r="Z3" s="213" t="s">
        <v>661</v>
      </c>
      <c r="AA3" s="213" t="s">
        <v>662</v>
      </c>
      <c r="AB3" s="213" t="s">
        <v>663</v>
      </c>
      <c r="AC3" s="213" t="s">
        <v>662</v>
      </c>
      <c r="AD3" s="214" t="s">
        <v>664</v>
      </c>
      <c r="AE3" s="215" t="s">
        <v>665</v>
      </c>
      <c r="AF3" s="215" t="s">
        <v>666</v>
      </c>
    </row>
    <row r="4">
      <c r="A4" s="216">
        <v>1.0</v>
      </c>
      <c r="B4" s="217" t="s">
        <v>62</v>
      </c>
      <c r="C4" s="28"/>
      <c r="D4" s="17" t="s">
        <v>20</v>
      </c>
      <c r="E4" s="17" t="s">
        <v>37</v>
      </c>
      <c r="F4" s="218" t="s">
        <v>92</v>
      </c>
      <c r="G4" s="219" t="s">
        <v>667</v>
      </c>
      <c r="H4" s="222"/>
      <c r="I4" s="221">
        <v>2.0</v>
      </c>
      <c r="J4" s="221">
        <v>2.0</v>
      </c>
      <c r="K4" s="218" t="s">
        <v>92</v>
      </c>
      <c r="L4" s="219" t="s">
        <v>667</v>
      </c>
      <c r="M4" s="222"/>
      <c r="N4" s="221">
        <v>2.0</v>
      </c>
      <c r="O4" s="221">
        <v>2.0</v>
      </c>
      <c r="P4" s="218" t="s">
        <v>92</v>
      </c>
      <c r="Q4" s="219" t="s">
        <v>667</v>
      </c>
      <c r="R4" s="222"/>
      <c r="S4" s="221">
        <v>2.0</v>
      </c>
      <c r="T4" s="221">
        <v>2.0</v>
      </c>
      <c r="U4" s="219" t="s">
        <v>672</v>
      </c>
      <c r="V4" s="219" t="s">
        <v>673</v>
      </c>
      <c r="W4" s="222"/>
      <c r="X4" s="221">
        <v>2.0</v>
      </c>
      <c r="Y4" s="221">
        <v>0.0</v>
      </c>
      <c r="Z4" s="223">
        <v>0.0</v>
      </c>
      <c r="AA4" s="223">
        <v>0.0</v>
      </c>
      <c r="AB4" s="223">
        <v>0.0</v>
      </c>
      <c r="AC4" s="223">
        <v>0.0</v>
      </c>
      <c r="AD4" s="224">
        <v>1.0</v>
      </c>
      <c r="AE4" s="174">
        <f t="shared" ref="AE4:AE56" si="1">I4+J4+N4+O4+S4+T4+X4+Y4+Z4+AA4+AB4+AC4</f>
        <v>14</v>
      </c>
      <c r="AF4" s="225">
        <f t="shared" ref="AF4:AF56" si="2">14.5-AE4</f>
        <v>0.5</v>
      </c>
    </row>
    <row r="5">
      <c r="A5" s="39">
        <v>2.0</v>
      </c>
      <c r="B5" s="41" t="s">
        <v>90</v>
      </c>
      <c r="C5" s="226"/>
      <c r="D5" s="29" t="s">
        <v>29</v>
      </c>
      <c r="E5" s="29" t="s">
        <v>68</v>
      </c>
      <c r="F5" s="218" t="s">
        <v>92</v>
      </c>
      <c r="G5" s="219" t="s">
        <v>667</v>
      </c>
      <c r="H5" s="222"/>
      <c r="I5" s="221">
        <v>2.0</v>
      </c>
      <c r="J5" s="221">
        <v>2.0</v>
      </c>
      <c r="K5" s="51" t="s">
        <v>92</v>
      </c>
      <c r="L5" s="51" t="s">
        <v>667</v>
      </c>
      <c r="M5" s="222"/>
      <c r="N5" s="221">
        <v>2.0</v>
      </c>
      <c r="O5" s="221">
        <v>2.0</v>
      </c>
      <c r="P5" s="51" t="s">
        <v>92</v>
      </c>
      <c r="Q5" s="51" t="s">
        <v>667</v>
      </c>
      <c r="R5" s="222"/>
      <c r="S5" s="221">
        <v>2.0</v>
      </c>
      <c r="T5" s="221">
        <v>2.0</v>
      </c>
      <c r="U5" s="51" t="s">
        <v>92</v>
      </c>
      <c r="V5" s="51" t="s">
        <v>667</v>
      </c>
      <c r="W5" s="222"/>
      <c r="X5" s="221">
        <v>2.0</v>
      </c>
      <c r="Y5" s="221">
        <v>0.0</v>
      </c>
      <c r="Z5" s="223">
        <v>0.0</v>
      </c>
      <c r="AA5" s="223">
        <v>0.0</v>
      </c>
      <c r="AB5" s="223">
        <v>0.0</v>
      </c>
      <c r="AC5" s="223">
        <v>0.0</v>
      </c>
      <c r="AD5" s="224">
        <v>0.0</v>
      </c>
      <c r="AE5" s="174">
        <f t="shared" si="1"/>
        <v>14</v>
      </c>
      <c r="AF5" s="225">
        <f t="shared" si="2"/>
        <v>0.5</v>
      </c>
    </row>
    <row r="6">
      <c r="A6" s="216">
        <v>3.0</v>
      </c>
      <c r="B6" s="41" t="s">
        <v>90</v>
      </c>
      <c r="C6" s="55" t="s">
        <v>99</v>
      </c>
      <c r="D6" s="43" t="s">
        <v>95</v>
      </c>
      <c r="E6" s="43" t="s">
        <v>35</v>
      </c>
      <c r="F6" s="2" t="s">
        <v>92</v>
      </c>
      <c r="G6" s="2" t="s">
        <v>667</v>
      </c>
      <c r="H6" s="222"/>
      <c r="I6" s="221">
        <v>2.0</v>
      </c>
      <c r="J6" s="221">
        <v>2.0</v>
      </c>
      <c r="K6" s="2" t="s">
        <v>92</v>
      </c>
      <c r="L6" s="2" t="s">
        <v>667</v>
      </c>
      <c r="M6" s="222"/>
      <c r="N6" s="221">
        <v>2.0</v>
      </c>
      <c r="O6" s="221">
        <v>2.0</v>
      </c>
      <c r="P6" s="2" t="s">
        <v>92</v>
      </c>
      <c r="Q6" s="2" t="s">
        <v>667</v>
      </c>
      <c r="R6" s="222"/>
      <c r="S6" s="221">
        <v>2.0</v>
      </c>
      <c r="T6" s="221">
        <v>2.0</v>
      </c>
      <c r="U6" s="2" t="s">
        <v>92</v>
      </c>
      <c r="V6" s="2" t="s">
        <v>667</v>
      </c>
      <c r="W6" s="222"/>
      <c r="X6" s="221">
        <v>2.0</v>
      </c>
      <c r="Y6" s="221">
        <v>2.0</v>
      </c>
      <c r="Z6" s="223">
        <v>2.0</v>
      </c>
      <c r="AA6" s="223">
        <v>0.0</v>
      </c>
      <c r="AB6" s="223">
        <v>0.0</v>
      </c>
      <c r="AC6" s="223">
        <v>0.0</v>
      </c>
      <c r="AD6" s="224">
        <v>0.0</v>
      </c>
      <c r="AE6" s="174">
        <f t="shared" si="1"/>
        <v>18</v>
      </c>
      <c r="AF6" s="225">
        <f t="shared" si="2"/>
        <v>-3.5</v>
      </c>
    </row>
    <row r="7">
      <c r="A7" s="39">
        <v>4.0</v>
      </c>
      <c r="B7" s="62" t="s">
        <v>90</v>
      </c>
      <c r="C7" s="59"/>
      <c r="D7" s="54" t="s">
        <v>41</v>
      </c>
      <c r="E7" s="54" t="s">
        <v>42</v>
      </c>
      <c r="F7" s="2" t="s">
        <v>92</v>
      </c>
      <c r="G7" s="2" t="s">
        <v>667</v>
      </c>
      <c r="H7" s="222"/>
      <c r="I7" s="221">
        <v>1.5</v>
      </c>
      <c r="J7" s="221">
        <v>2.0</v>
      </c>
      <c r="K7" s="2" t="s">
        <v>92</v>
      </c>
      <c r="L7" s="2" t="s">
        <v>667</v>
      </c>
      <c r="M7" s="222"/>
      <c r="N7" s="221">
        <v>2.0</v>
      </c>
      <c r="O7" s="221">
        <v>2.0</v>
      </c>
      <c r="P7" s="2" t="s">
        <v>92</v>
      </c>
      <c r="Q7" s="2" t="s">
        <v>667</v>
      </c>
      <c r="R7" s="222"/>
      <c r="S7" s="221">
        <v>2.0</v>
      </c>
      <c r="T7" s="221">
        <v>2.0</v>
      </c>
      <c r="U7" s="167" t="s">
        <v>672</v>
      </c>
      <c r="V7" s="167" t="s">
        <v>673</v>
      </c>
      <c r="W7" s="222"/>
      <c r="X7" s="221">
        <v>1.5</v>
      </c>
      <c r="Y7" s="221">
        <v>0.0</v>
      </c>
      <c r="Z7" s="223">
        <v>0.0</v>
      </c>
      <c r="AA7" s="223">
        <v>0.0</v>
      </c>
      <c r="AB7" s="223">
        <v>0.0</v>
      </c>
      <c r="AC7" s="223">
        <v>0.0</v>
      </c>
      <c r="AD7" s="224">
        <v>1.0</v>
      </c>
      <c r="AE7" s="174">
        <f t="shared" si="1"/>
        <v>13</v>
      </c>
      <c r="AF7" s="225">
        <f t="shared" si="2"/>
        <v>1.5</v>
      </c>
    </row>
    <row r="8">
      <c r="A8" s="216">
        <v>5.0</v>
      </c>
      <c r="B8" s="62" t="s">
        <v>90</v>
      </c>
      <c r="C8" s="59"/>
      <c r="D8" s="54" t="s">
        <v>48</v>
      </c>
      <c r="E8" s="54" t="s">
        <v>51</v>
      </c>
      <c r="F8" s="167" t="s">
        <v>672</v>
      </c>
      <c r="G8" s="167" t="s">
        <v>673</v>
      </c>
      <c r="H8" s="222"/>
      <c r="I8" s="221">
        <v>2.0</v>
      </c>
      <c r="J8" s="221">
        <v>2.0</v>
      </c>
      <c r="K8" s="2" t="s">
        <v>92</v>
      </c>
      <c r="L8" s="2" t="s">
        <v>667</v>
      </c>
      <c r="M8" s="222"/>
      <c r="N8" s="221">
        <v>2.0</v>
      </c>
      <c r="O8" s="221">
        <v>2.0</v>
      </c>
      <c r="P8" s="2" t="s">
        <v>92</v>
      </c>
      <c r="Q8" s="2" t="s">
        <v>667</v>
      </c>
      <c r="R8" s="222"/>
      <c r="S8" s="221">
        <v>0.0</v>
      </c>
      <c r="T8" s="221">
        <v>2.0</v>
      </c>
      <c r="U8" s="2" t="s">
        <v>92</v>
      </c>
      <c r="V8" s="2" t="s">
        <v>667</v>
      </c>
      <c r="W8" s="222"/>
      <c r="X8" s="221">
        <v>2.0</v>
      </c>
      <c r="Y8" s="221">
        <v>2.0</v>
      </c>
      <c r="Z8" s="223">
        <v>0.0</v>
      </c>
      <c r="AA8" s="223">
        <v>0.0</v>
      </c>
      <c r="AB8" s="223">
        <v>0.0</v>
      </c>
      <c r="AC8" s="223">
        <v>0.0</v>
      </c>
      <c r="AD8" s="224">
        <v>1.0</v>
      </c>
      <c r="AE8" s="174">
        <f t="shared" si="1"/>
        <v>14</v>
      </c>
      <c r="AF8" s="225">
        <f t="shared" si="2"/>
        <v>0.5</v>
      </c>
    </row>
    <row r="9">
      <c r="A9" s="39">
        <v>6.0</v>
      </c>
      <c r="B9" s="62" t="s">
        <v>90</v>
      </c>
      <c r="C9" s="59"/>
      <c r="D9" s="43" t="s">
        <v>58</v>
      </c>
      <c r="E9" s="43" t="s">
        <v>148</v>
      </c>
      <c r="F9" s="2" t="s">
        <v>92</v>
      </c>
      <c r="G9" s="2" t="s">
        <v>667</v>
      </c>
      <c r="H9" s="222"/>
      <c r="I9" s="221">
        <v>2.0</v>
      </c>
      <c r="J9" s="221">
        <v>2.0</v>
      </c>
      <c r="K9" s="167" t="s">
        <v>672</v>
      </c>
      <c r="L9" s="167" t="s">
        <v>673</v>
      </c>
      <c r="M9" s="222"/>
      <c r="N9" s="221">
        <v>0.0</v>
      </c>
      <c r="O9" s="221">
        <v>0.0</v>
      </c>
      <c r="P9" s="2" t="s">
        <v>92</v>
      </c>
      <c r="Q9" s="2" t="s">
        <v>667</v>
      </c>
      <c r="R9" s="222"/>
      <c r="S9" s="221">
        <v>2.0</v>
      </c>
      <c r="T9" s="221">
        <v>2.0</v>
      </c>
      <c r="U9" s="2" t="s">
        <v>92</v>
      </c>
      <c r="V9" s="2" t="s">
        <v>667</v>
      </c>
      <c r="W9" s="222"/>
      <c r="X9" s="221">
        <v>2.0</v>
      </c>
      <c r="Y9" s="221">
        <v>2.0</v>
      </c>
      <c r="Z9" s="223">
        <v>0.0</v>
      </c>
      <c r="AA9" s="223">
        <v>0.0</v>
      </c>
      <c r="AB9" s="223">
        <v>0.0</v>
      </c>
      <c r="AC9" s="223">
        <v>0.0</v>
      </c>
      <c r="AD9" s="224">
        <v>1.0</v>
      </c>
      <c r="AE9" s="174">
        <f t="shared" si="1"/>
        <v>12</v>
      </c>
      <c r="AF9" s="225">
        <f t="shared" si="2"/>
        <v>2.5</v>
      </c>
    </row>
    <row r="10">
      <c r="A10" s="216">
        <v>7.0</v>
      </c>
      <c r="B10" s="105" t="s">
        <v>90</v>
      </c>
      <c r="C10" s="68"/>
      <c r="D10" s="70" t="s">
        <v>63</v>
      </c>
      <c r="E10" s="74" t="s">
        <v>64</v>
      </c>
      <c r="F10" s="167" t="s">
        <v>672</v>
      </c>
      <c r="G10" s="167" t="s">
        <v>673</v>
      </c>
      <c r="H10" s="222"/>
      <c r="I10" s="221">
        <v>2.0</v>
      </c>
      <c r="J10" s="221">
        <v>2.0</v>
      </c>
      <c r="K10" s="2" t="s">
        <v>92</v>
      </c>
      <c r="L10" s="2" t="s">
        <v>667</v>
      </c>
      <c r="M10" s="222"/>
      <c r="N10" s="221">
        <v>2.0</v>
      </c>
      <c r="O10" s="221">
        <v>2.0</v>
      </c>
      <c r="P10" s="2" t="s">
        <v>92</v>
      </c>
      <c r="Q10" s="167" t="s">
        <v>667</v>
      </c>
      <c r="R10" s="221"/>
      <c r="S10" s="221">
        <v>2.0</v>
      </c>
      <c r="T10" s="221">
        <v>2.0</v>
      </c>
      <c r="U10" s="2" t="s">
        <v>92</v>
      </c>
      <c r="V10" s="2" t="s">
        <v>667</v>
      </c>
      <c r="W10" s="222"/>
      <c r="X10" s="221">
        <v>2.0</v>
      </c>
      <c r="Y10" s="221">
        <v>0.0</v>
      </c>
      <c r="Z10" s="223">
        <v>0.0</v>
      </c>
      <c r="AA10" s="223">
        <v>0.0</v>
      </c>
      <c r="AB10" s="223">
        <v>0.0</v>
      </c>
      <c r="AC10" s="223">
        <v>0.0</v>
      </c>
      <c r="AD10" s="224">
        <v>1.0</v>
      </c>
      <c r="AE10" s="174">
        <f t="shared" si="1"/>
        <v>14</v>
      </c>
      <c r="AF10" s="225">
        <f t="shared" si="2"/>
        <v>0.5</v>
      </c>
    </row>
    <row r="11">
      <c r="A11" s="39">
        <v>8.0</v>
      </c>
      <c r="B11" s="62" t="s">
        <v>90</v>
      </c>
      <c r="C11" s="59"/>
      <c r="D11" s="54" t="s">
        <v>66</v>
      </c>
      <c r="E11" s="54" t="s">
        <v>187</v>
      </c>
      <c r="F11" s="2" t="s">
        <v>92</v>
      </c>
      <c r="G11" s="2" t="s">
        <v>667</v>
      </c>
      <c r="H11" s="222"/>
      <c r="I11" s="221">
        <v>1.5</v>
      </c>
      <c r="J11" s="221">
        <v>2.0</v>
      </c>
      <c r="K11" s="2" t="s">
        <v>92</v>
      </c>
      <c r="L11" s="2" t="s">
        <v>667</v>
      </c>
      <c r="M11" s="222"/>
      <c r="N11" s="221">
        <v>2.0</v>
      </c>
      <c r="O11" s="221">
        <v>2.0</v>
      </c>
      <c r="P11" s="2" t="s">
        <v>92</v>
      </c>
      <c r="Q11" s="2" t="s">
        <v>667</v>
      </c>
      <c r="R11" s="222"/>
      <c r="S11" s="221">
        <v>2.0</v>
      </c>
      <c r="T11" s="221">
        <v>0.0</v>
      </c>
      <c r="U11" s="2" t="s">
        <v>92</v>
      </c>
      <c r="V11" s="2" t="s">
        <v>667</v>
      </c>
      <c r="W11" s="222"/>
      <c r="X11" s="221">
        <v>2.0</v>
      </c>
      <c r="Y11" s="221">
        <v>2.0</v>
      </c>
      <c r="Z11" s="223">
        <v>0.0</v>
      </c>
      <c r="AA11" s="223">
        <v>0.0</v>
      </c>
      <c r="AB11" s="223">
        <v>0.0</v>
      </c>
      <c r="AC11" s="223">
        <v>0.0</v>
      </c>
      <c r="AD11" s="224">
        <v>0.0</v>
      </c>
      <c r="AE11" s="174">
        <f t="shared" si="1"/>
        <v>13.5</v>
      </c>
      <c r="AF11" s="225">
        <f t="shared" si="2"/>
        <v>1</v>
      </c>
    </row>
    <row r="12">
      <c r="A12" s="216">
        <v>9.0</v>
      </c>
      <c r="B12" s="62" t="s">
        <v>90</v>
      </c>
      <c r="C12" s="59"/>
      <c r="D12" s="46" t="s">
        <v>71</v>
      </c>
      <c r="E12" s="46" t="s">
        <v>195</v>
      </c>
      <c r="F12" s="2" t="s">
        <v>92</v>
      </c>
      <c r="G12" s="2" t="s">
        <v>667</v>
      </c>
      <c r="H12" s="222"/>
      <c r="I12" s="221">
        <v>0.0</v>
      </c>
      <c r="J12" s="221">
        <v>2.0</v>
      </c>
      <c r="K12" s="2" t="s">
        <v>92</v>
      </c>
      <c r="L12" s="2" t="s">
        <v>667</v>
      </c>
      <c r="M12" s="222"/>
      <c r="N12" s="221">
        <v>2.0</v>
      </c>
      <c r="O12" s="221">
        <v>2.0</v>
      </c>
      <c r="P12" s="2" t="s">
        <v>92</v>
      </c>
      <c r="Q12" s="2" t="s">
        <v>667</v>
      </c>
      <c r="R12" s="222"/>
      <c r="S12" s="221">
        <v>2.0</v>
      </c>
      <c r="T12" s="221">
        <v>2.0</v>
      </c>
      <c r="U12" s="2" t="s">
        <v>92</v>
      </c>
      <c r="V12" s="2" t="s">
        <v>667</v>
      </c>
      <c r="W12" s="222"/>
      <c r="X12" s="221">
        <v>2.0</v>
      </c>
      <c r="Y12" s="221">
        <v>2.0</v>
      </c>
      <c r="Z12" s="223">
        <v>0.0</v>
      </c>
      <c r="AA12" s="223">
        <v>0.0</v>
      </c>
      <c r="AB12" s="223">
        <v>0.0</v>
      </c>
      <c r="AC12" s="223">
        <v>0.0</v>
      </c>
      <c r="AD12" s="224">
        <v>0.0</v>
      </c>
      <c r="AE12" s="174">
        <f t="shared" si="1"/>
        <v>14</v>
      </c>
      <c r="AF12" s="225">
        <f t="shared" si="2"/>
        <v>0.5</v>
      </c>
    </row>
    <row r="13">
      <c r="A13" s="39">
        <v>10.0</v>
      </c>
      <c r="B13" s="62" t="s">
        <v>90</v>
      </c>
      <c r="C13" s="59"/>
      <c r="D13" s="54" t="s">
        <v>85</v>
      </c>
      <c r="E13" s="54" t="s">
        <v>86</v>
      </c>
      <c r="F13" s="2" t="s">
        <v>92</v>
      </c>
      <c r="G13" s="2" t="s">
        <v>667</v>
      </c>
      <c r="H13" s="222"/>
      <c r="I13" s="221">
        <v>1.0</v>
      </c>
      <c r="J13" s="221">
        <v>2.0</v>
      </c>
      <c r="K13" s="2" t="s">
        <v>92</v>
      </c>
      <c r="L13" s="2" t="s">
        <v>667</v>
      </c>
      <c r="M13" s="222"/>
      <c r="N13" s="221">
        <v>2.0</v>
      </c>
      <c r="O13" s="221">
        <v>0.0</v>
      </c>
      <c r="P13" s="2" t="s">
        <v>92</v>
      </c>
      <c r="Q13" s="2" t="s">
        <v>667</v>
      </c>
      <c r="R13" s="222"/>
      <c r="S13" s="221">
        <v>0.5</v>
      </c>
      <c r="T13" s="221">
        <v>2.0</v>
      </c>
      <c r="U13" s="2" t="s">
        <v>92</v>
      </c>
      <c r="V13" s="2" t="s">
        <v>667</v>
      </c>
      <c r="W13" s="222"/>
      <c r="X13" s="221">
        <v>1.5</v>
      </c>
      <c r="Y13" s="221">
        <v>2.0</v>
      </c>
      <c r="Z13" s="223">
        <v>2.0</v>
      </c>
      <c r="AA13" s="223">
        <v>0.0</v>
      </c>
      <c r="AB13" s="223">
        <v>0.0</v>
      </c>
      <c r="AC13" s="223">
        <v>0.0</v>
      </c>
      <c r="AD13" s="224">
        <v>0.0</v>
      </c>
      <c r="AE13" s="174">
        <f t="shared" si="1"/>
        <v>13</v>
      </c>
      <c r="AF13" s="225">
        <f t="shared" si="2"/>
        <v>1.5</v>
      </c>
    </row>
    <row r="14">
      <c r="A14" s="216">
        <v>11.0</v>
      </c>
      <c r="B14" s="62" t="s">
        <v>90</v>
      </c>
      <c r="C14" s="59"/>
      <c r="D14" s="54" t="s">
        <v>88</v>
      </c>
      <c r="E14" s="54" t="s">
        <v>246</v>
      </c>
      <c r="F14" s="2" t="s">
        <v>92</v>
      </c>
      <c r="G14" s="2" t="s">
        <v>667</v>
      </c>
      <c r="H14" s="222"/>
      <c r="I14" s="221">
        <v>2.0</v>
      </c>
      <c r="J14" s="221">
        <v>2.0</v>
      </c>
      <c r="K14" s="2" t="s">
        <v>92</v>
      </c>
      <c r="L14" s="2" t="s">
        <v>667</v>
      </c>
      <c r="M14" s="222"/>
      <c r="N14" s="221">
        <v>2.0</v>
      </c>
      <c r="O14" s="221">
        <v>2.0</v>
      </c>
      <c r="P14" s="2" t="s">
        <v>92</v>
      </c>
      <c r="Q14" s="2" t="s">
        <v>667</v>
      </c>
      <c r="R14" s="222"/>
      <c r="S14" s="221">
        <v>1.0</v>
      </c>
      <c r="T14" s="221">
        <v>0.0</v>
      </c>
      <c r="U14" s="2" t="s">
        <v>92</v>
      </c>
      <c r="V14" s="2" t="s">
        <v>667</v>
      </c>
      <c r="W14" s="222"/>
      <c r="X14" s="221">
        <v>1.5</v>
      </c>
      <c r="Y14" s="221">
        <v>2.0</v>
      </c>
      <c r="Z14" s="223">
        <v>0.0</v>
      </c>
      <c r="AA14" s="223">
        <v>0.0</v>
      </c>
      <c r="AB14" s="223">
        <v>0.0</v>
      </c>
      <c r="AC14" s="223">
        <v>0.0</v>
      </c>
      <c r="AD14" s="224">
        <v>0.0</v>
      </c>
      <c r="AE14" s="174">
        <f t="shared" si="1"/>
        <v>12.5</v>
      </c>
      <c r="AF14" s="225">
        <f t="shared" si="2"/>
        <v>2</v>
      </c>
    </row>
    <row r="15">
      <c r="A15" s="39">
        <v>12.0</v>
      </c>
      <c r="B15" s="62" t="s">
        <v>90</v>
      </c>
      <c r="C15" s="59"/>
      <c r="D15" s="43" t="s">
        <v>94</v>
      </c>
      <c r="E15" s="43" t="s">
        <v>258</v>
      </c>
      <c r="F15" s="2" t="s">
        <v>92</v>
      </c>
      <c r="G15" s="2" t="s">
        <v>667</v>
      </c>
      <c r="H15" s="222"/>
      <c r="I15" s="221">
        <v>0.0</v>
      </c>
      <c r="J15" s="221">
        <v>2.0</v>
      </c>
      <c r="K15" s="2" t="s">
        <v>92</v>
      </c>
      <c r="L15" s="2" t="s">
        <v>667</v>
      </c>
      <c r="M15" s="222"/>
      <c r="N15" s="221">
        <v>2.0</v>
      </c>
      <c r="O15" s="221">
        <v>2.0</v>
      </c>
      <c r="P15" s="2" t="s">
        <v>92</v>
      </c>
      <c r="Q15" s="2" t="s">
        <v>667</v>
      </c>
      <c r="R15" s="222"/>
      <c r="S15" s="221">
        <v>1.5</v>
      </c>
      <c r="T15" s="221">
        <v>2.0</v>
      </c>
      <c r="U15" s="2" t="s">
        <v>92</v>
      </c>
      <c r="V15" s="2" t="s">
        <v>667</v>
      </c>
      <c r="W15" s="222"/>
      <c r="X15" s="221">
        <v>2.0</v>
      </c>
      <c r="Y15" s="221">
        <v>2.0</v>
      </c>
      <c r="Z15" s="223">
        <v>0.0</v>
      </c>
      <c r="AA15" s="223">
        <v>0.0</v>
      </c>
      <c r="AB15" s="223">
        <v>0.0</v>
      </c>
      <c r="AC15" s="223">
        <v>0.0</v>
      </c>
      <c r="AD15" s="224">
        <v>0.0</v>
      </c>
      <c r="AE15" s="174">
        <f t="shared" si="1"/>
        <v>13.5</v>
      </c>
      <c r="AF15" s="225">
        <f t="shared" si="2"/>
        <v>1</v>
      </c>
    </row>
    <row r="16">
      <c r="A16" s="216">
        <v>13.0</v>
      </c>
      <c r="B16" s="121" t="s">
        <v>90</v>
      </c>
      <c r="C16" s="87"/>
      <c r="D16" s="43" t="s">
        <v>107</v>
      </c>
      <c r="E16" s="46" t="s">
        <v>276</v>
      </c>
      <c r="F16" s="2" t="s">
        <v>92</v>
      </c>
      <c r="G16" s="2" t="s">
        <v>667</v>
      </c>
      <c r="H16" s="222"/>
      <c r="I16" s="221">
        <v>2.0</v>
      </c>
      <c r="J16" s="221">
        <v>2.0</v>
      </c>
      <c r="K16" s="167" t="s">
        <v>672</v>
      </c>
      <c r="L16" s="167" t="s">
        <v>673</v>
      </c>
      <c r="M16" s="222"/>
      <c r="N16" s="221">
        <v>2.0</v>
      </c>
      <c r="O16" s="221">
        <v>2.0</v>
      </c>
      <c r="P16" s="2" t="s">
        <v>92</v>
      </c>
      <c r="Q16" s="2" t="s">
        <v>667</v>
      </c>
      <c r="R16" s="222"/>
      <c r="S16" s="221">
        <v>2.0</v>
      </c>
      <c r="T16" s="221">
        <v>2.0</v>
      </c>
      <c r="U16" s="2" t="s">
        <v>92</v>
      </c>
      <c r="V16" s="2" t="s">
        <v>667</v>
      </c>
      <c r="W16" s="222"/>
      <c r="X16" s="221">
        <v>1.5</v>
      </c>
      <c r="Y16" s="221">
        <v>2.0</v>
      </c>
      <c r="Z16" s="223">
        <v>2.0</v>
      </c>
      <c r="AA16" s="223">
        <v>0.0</v>
      </c>
      <c r="AB16" s="223">
        <v>0.0</v>
      </c>
      <c r="AC16" s="223">
        <v>0.0</v>
      </c>
      <c r="AD16" s="224">
        <v>1.0</v>
      </c>
      <c r="AE16" s="174">
        <f t="shared" si="1"/>
        <v>17.5</v>
      </c>
      <c r="AF16" s="225">
        <f t="shared" si="2"/>
        <v>-3</v>
      </c>
    </row>
    <row r="17">
      <c r="A17" s="39">
        <v>14.0</v>
      </c>
      <c r="B17" s="62" t="s">
        <v>90</v>
      </c>
      <c r="C17" s="59"/>
      <c r="D17" s="43" t="s">
        <v>112</v>
      </c>
      <c r="E17" s="43" t="s">
        <v>292</v>
      </c>
      <c r="F17" s="2" t="s">
        <v>92</v>
      </c>
      <c r="G17" s="2" t="s">
        <v>667</v>
      </c>
      <c r="H17" s="222"/>
      <c r="I17" s="221">
        <v>2.0</v>
      </c>
      <c r="J17" s="221">
        <v>2.0</v>
      </c>
      <c r="K17" s="2" t="s">
        <v>92</v>
      </c>
      <c r="L17" s="2" t="s">
        <v>667</v>
      </c>
      <c r="M17" s="222"/>
      <c r="N17" s="221">
        <v>1.0</v>
      </c>
      <c r="O17" s="221">
        <v>2.0</v>
      </c>
      <c r="P17" s="2" t="s">
        <v>92</v>
      </c>
      <c r="Q17" s="2" t="s">
        <v>667</v>
      </c>
      <c r="R17" s="222"/>
      <c r="S17" s="221">
        <v>2.0</v>
      </c>
      <c r="T17" s="221">
        <v>0.0</v>
      </c>
      <c r="U17" s="2" t="s">
        <v>92</v>
      </c>
      <c r="V17" s="2" t="s">
        <v>667</v>
      </c>
      <c r="W17" s="222"/>
      <c r="X17" s="221">
        <v>0.0</v>
      </c>
      <c r="Y17" s="221">
        <v>0.0</v>
      </c>
      <c r="Z17" s="223">
        <v>2.0</v>
      </c>
      <c r="AA17" s="223">
        <v>0.0</v>
      </c>
      <c r="AB17" s="223">
        <v>0.0</v>
      </c>
      <c r="AC17" s="223">
        <v>0.0</v>
      </c>
      <c r="AD17" s="224">
        <v>0.0</v>
      </c>
      <c r="AE17" s="174">
        <f t="shared" si="1"/>
        <v>11</v>
      </c>
      <c r="AF17" s="225">
        <f t="shared" si="2"/>
        <v>3.5</v>
      </c>
    </row>
    <row r="18">
      <c r="A18" s="216">
        <v>15.0</v>
      </c>
      <c r="B18" s="62" t="s">
        <v>90</v>
      </c>
      <c r="C18" s="59"/>
      <c r="D18" s="43" t="s">
        <v>112</v>
      </c>
      <c r="E18" s="43" t="s">
        <v>117</v>
      </c>
      <c r="F18" s="2" t="s">
        <v>92</v>
      </c>
      <c r="G18" s="2" t="s">
        <v>667</v>
      </c>
      <c r="H18" s="222"/>
      <c r="I18" s="221">
        <v>1.5</v>
      </c>
      <c r="J18" s="221">
        <v>2.0</v>
      </c>
      <c r="K18" s="2" t="s">
        <v>92</v>
      </c>
      <c r="L18" s="2" t="s">
        <v>667</v>
      </c>
      <c r="M18" s="222"/>
      <c r="N18" s="221">
        <v>2.0</v>
      </c>
      <c r="O18" s="221">
        <v>2.0</v>
      </c>
      <c r="P18" s="2" t="s">
        <v>92</v>
      </c>
      <c r="Q18" s="2" t="s">
        <v>667</v>
      </c>
      <c r="R18" s="222"/>
      <c r="S18" s="221">
        <v>2.0</v>
      </c>
      <c r="T18" s="221">
        <v>2.0</v>
      </c>
      <c r="U18" s="2" t="s">
        <v>92</v>
      </c>
      <c r="V18" s="2" t="s">
        <v>667</v>
      </c>
      <c r="W18" s="222"/>
      <c r="X18" s="221">
        <v>2.0</v>
      </c>
      <c r="Y18" s="221">
        <v>2.0</v>
      </c>
      <c r="Z18" s="223">
        <v>0.0</v>
      </c>
      <c r="AA18" s="223">
        <v>0.0</v>
      </c>
      <c r="AB18" s="223">
        <v>0.0</v>
      </c>
      <c r="AC18" s="223">
        <v>0.0</v>
      </c>
      <c r="AD18" s="224">
        <v>0.0</v>
      </c>
      <c r="AE18" s="174">
        <f t="shared" si="1"/>
        <v>15.5</v>
      </c>
      <c r="AF18" s="225">
        <f t="shared" si="2"/>
        <v>-1</v>
      </c>
    </row>
    <row r="19">
      <c r="A19" s="39">
        <v>16.0</v>
      </c>
      <c r="B19" s="62" t="s">
        <v>90</v>
      </c>
      <c r="C19" s="59"/>
      <c r="D19" s="43" t="s">
        <v>126</v>
      </c>
      <c r="E19" s="43" t="s">
        <v>127</v>
      </c>
      <c r="F19" s="167" t="s">
        <v>672</v>
      </c>
      <c r="G19" s="167" t="s">
        <v>673</v>
      </c>
      <c r="H19" s="222"/>
      <c r="I19" s="221">
        <v>2.0</v>
      </c>
      <c r="J19" s="221">
        <v>2.0</v>
      </c>
      <c r="K19" s="2" t="s">
        <v>92</v>
      </c>
      <c r="L19" s="2" t="s">
        <v>667</v>
      </c>
      <c r="M19" s="222"/>
      <c r="N19" s="221">
        <v>0.5</v>
      </c>
      <c r="O19" s="221">
        <v>2.0</v>
      </c>
      <c r="P19" s="2" t="s">
        <v>92</v>
      </c>
      <c r="Q19" s="2" t="s">
        <v>667</v>
      </c>
      <c r="R19" s="222"/>
      <c r="S19" s="221">
        <v>2.0</v>
      </c>
      <c r="T19" s="221">
        <v>2.0</v>
      </c>
      <c r="U19" s="2" t="s">
        <v>92</v>
      </c>
      <c r="V19" s="2" t="s">
        <v>667</v>
      </c>
      <c r="W19" s="222"/>
      <c r="X19" s="221">
        <v>2.0</v>
      </c>
      <c r="Y19" s="221">
        <v>2.0</v>
      </c>
      <c r="Z19" s="223">
        <v>2.0</v>
      </c>
      <c r="AA19" s="223">
        <v>0.0</v>
      </c>
      <c r="AB19" s="223">
        <v>0.0</v>
      </c>
      <c r="AC19" s="223">
        <v>0.0</v>
      </c>
      <c r="AD19" s="224">
        <v>1.0</v>
      </c>
      <c r="AE19" s="174">
        <f t="shared" si="1"/>
        <v>16.5</v>
      </c>
      <c r="AF19" s="225">
        <f t="shared" si="2"/>
        <v>-2</v>
      </c>
    </row>
    <row r="20">
      <c r="A20" s="216">
        <v>17.0</v>
      </c>
      <c r="B20" s="62" t="s">
        <v>90</v>
      </c>
      <c r="C20" s="59"/>
      <c r="D20" s="43" t="s">
        <v>119</v>
      </c>
      <c r="E20" s="43" t="s">
        <v>121</v>
      </c>
      <c r="F20" s="2" t="s">
        <v>92</v>
      </c>
      <c r="G20" s="2" t="s">
        <v>667</v>
      </c>
      <c r="H20" s="221" t="s">
        <v>668</v>
      </c>
      <c r="I20" s="229">
        <v>2.0</v>
      </c>
      <c r="J20" s="229">
        <v>2.0</v>
      </c>
      <c r="K20" s="2" t="s">
        <v>92</v>
      </c>
      <c r="L20" s="2" t="s">
        <v>667</v>
      </c>
      <c r="M20" s="222"/>
      <c r="N20" s="229">
        <v>2.0</v>
      </c>
      <c r="O20" s="229">
        <v>2.0</v>
      </c>
      <c r="P20" s="2" t="s">
        <v>92</v>
      </c>
      <c r="Q20" s="2" t="s">
        <v>667</v>
      </c>
      <c r="R20" s="222"/>
      <c r="S20" s="229">
        <v>2.0</v>
      </c>
      <c r="T20" s="229">
        <v>2.0</v>
      </c>
      <c r="U20" s="2" t="s">
        <v>92</v>
      </c>
      <c r="V20" s="2" t="s">
        <v>667</v>
      </c>
      <c r="W20" s="222"/>
      <c r="X20" s="229">
        <v>2.0</v>
      </c>
      <c r="Y20" s="229">
        <v>2.0</v>
      </c>
      <c r="Z20" s="230">
        <v>2.0</v>
      </c>
      <c r="AA20" s="231">
        <v>0.0</v>
      </c>
      <c r="AB20" s="231">
        <v>0.0</v>
      </c>
      <c r="AC20" s="231">
        <v>0.0</v>
      </c>
      <c r="AD20" s="224">
        <v>0.0</v>
      </c>
      <c r="AE20" s="174">
        <f t="shared" si="1"/>
        <v>18</v>
      </c>
      <c r="AF20" s="225">
        <f t="shared" si="2"/>
        <v>-3.5</v>
      </c>
    </row>
    <row r="21">
      <c r="A21" s="39">
        <v>18.0</v>
      </c>
      <c r="B21" s="62" t="s">
        <v>90</v>
      </c>
      <c r="C21" s="59"/>
      <c r="D21" s="54" t="s">
        <v>135</v>
      </c>
      <c r="E21" s="54" t="s">
        <v>136</v>
      </c>
      <c r="F21" s="2" t="s">
        <v>92</v>
      </c>
      <c r="G21" s="2" t="s">
        <v>667</v>
      </c>
      <c r="H21" s="222"/>
      <c r="I21" s="221">
        <v>0.0</v>
      </c>
      <c r="J21" s="221">
        <v>2.0</v>
      </c>
      <c r="K21" s="167" t="s">
        <v>672</v>
      </c>
      <c r="L21" s="167" t="s">
        <v>673</v>
      </c>
      <c r="M21" s="222"/>
      <c r="N21" s="221">
        <v>2.0</v>
      </c>
      <c r="O21" s="221">
        <v>1.5</v>
      </c>
      <c r="P21" s="167" t="s">
        <v>672</v>
      </c>
      <c r="Q21" s="167" t="s">
        <v>673</v>
      </c>
      <c r="R21" s="222"/>
      <c r="S21" s="221">
        <v>2.0</v>
      </c>
      <c r="T21" s="221">
        <v>0.0</v>
      </c>
      <c r="U21" s="2" t="s">
        <v>92</v>
      </c>
      <c r="V21" s="2" t="s">
        <v>667</v>
      </c>
      <c r="W21" s="222"/>
      <c r="X21" s="221">
        <v>2.0</v>
      </c>
      <c r="Y21" s="221">
        <v>2.0</v>
      </c>
      <c r="Z21" s="223">
        <v>2.0</v>
      </c>
      <c r="AA21" s="223">
        <v>0.0</v>
      </c>
      <c r="AB21" s="223">
        <v>0.0</v>
      </c>
      <c r="AC21" s="223">
        <v>0.0</v>
      </c>
      <c r="AD21" s="224">
        <v>2.0</v>
      </c>
      <c r="AE21" s="174">
        <f t="shared" si="1"/>
        <v>13.5</v>
      </c>
      <c r="AF21" s="225">
        <f t="shared" si="2"/>
        <v>1</v>
      </c>
    </row>
    <row r="22">
      <c r="A22" s="216">
        <v>19.0</v>
      </c>
      <c r="B22" s="62" t="s">
        <v>90</v>
      </c>
      <c r="C22" s="59"/>
      <c r="D22" s="43" t="s">
        <v>138</v>
      </c>
      <c r="E22" s="43" t="s">
        <v>139</v>
      </c>
      <c r="F22" s="2" t="s">
        <v>92</v>
      </c>
      <c r="G22" s="2" t="s">
        <v>667</v>
      </c>
      <c r="H22" s="222"/>
      <c r="I22" s="221">
        <v>2.0</v>
      </c>
      <c r="J22" s="221">
        <v>2.0</v>
      </c>
      <c r="K22" s="2" t="s">
        <v>92</v>
      </c>
      <c r="L22" s="2" t="s">
        <v>667</v>
      </c>
      <c r="M22" s="222"/>
      <c r="N22" s="221">
        <v>1.0</v>
      </c>
      <c r="O22" s="221">
        <v>2.0</v>
      </c>
      <c r="P22" s="2" t="s">
        <v>92</v>
      </c>
      <c r="Q22" s="2" t="s">
        <v>667</v>
      </c>
      <c r="R22" s="222"/>
      <c r="S22" s="221">
        <v>1.5</v>
      </c>
      <c r="T22" s="221">
        <v>2.0</v>
      </c>
      <c r="U22" s="2" t="s">
        <v>92</v>
      </c>
      <c r="V22" s="2" t="s">
        <v>667</v>
      </c>
      <c r="W22" s="222"/>
      <c r="X22" s="221">
        <v>1.5</v>
      </c>
      <c r="Y22" s="221">
        <v>2.0</v>
      </c>
      <c r="Z22" s="223">
        <v>0.0</v>
      </c>
      <c r="AA22" s="223">
        <v>0.0</v>
      </c>
      <c r="AB22" s="223">
        <v>0.0</v>
      </c>
      <c r="AC22" s="223">
        <v>0.0</v>
      </c>
      <c r="AD22" s="224">
        <v>0.0</v>
      </c>
      <c r="AE22" s="174">
        <f t="shared" si="1"/>
        <v>14</v>
      </c>
      <c r="AF22" s="225">
        <f t="shared" si="2"/>
        <v>0.5</v>
      </c>
    </row>
    <row r="23">
      <c r="A23" s="39">
        <v>20.0</v>
      </c>
      <c r="B23" s="62" t="s">
        <v>90</v>
      </c>
      <c r="C23" s="59"/>
      <c r="D23" s="43" t="s">
        <v>146</v>
      </c>
      <c r="E23" s="43" t="s">
        <v>149</v>
      </c>
      <c r="F23" s="2" t="s">
        <v>92</v>
      </c>
      <c r="G23" s="2" t="s">
        <v>667</v>
      </c>
      <c r="H23" s="222"/>
      <c r="I23" s="221">
        <v>2.0</v>
      </c>
      <c r="J23" s="221">
        <v>2.0</v>
      </c>
      <c r="K23" s="2" t="s">
        <v>92</v>
      </c>
      <c r="L23" s="2" t="s">
        <v>667</v>
      </c>
      <c r="M23" s="222"/>
      <c r="N23" s="221">
        <v>2.0</v>
      </c>
      <c r="O23" s="221">
        <v>2.0</v>
      </c>
      <c r="P23" s="2" t="s">
        <v>92</v>
      </c>
      <c r="Q23" s="2" t="s">
        <v>667</v>
      </c>
      <c r="R23" s="222"/>
      <c r="S23" s="221">
        <v>2.0</v>
      </c>
      <c r="T23" s="221">
        <v>2.0</v>
      </c>
      <c r="U23" s="167" t="s">
        <v>672</v>
      </c>
      <c r="V23" s="167" t="s">
        <v>673</v>
      </c>
      <c r="W23" s="222"/>
      <c r="X23" s="221">
        <v>2.0</v>
      </c>
      <c r="Y23" s="221">
        <v>2.0</v>
      </c>
      <c r="Z23" s="223">
        <v>0.0</v>
      </c>
      <c r="AA23" s="223">
        <v>0.0</v>
      </c>
      <c r="AB23" s="223">
        <v>0.0</v>
      </c>
      <c r="AC23" s="223">
        <v>0.0</v>
      </c>
      <c r="AD23" s="224">
        <v>1.0</v>
      </c>
      <c r="AE23" s="174">
        <f t="shared" si="1"/>
        <v>16</v>
      </c>
      <c r="AF23" s="225">
        <f t="shared" si="2"/>
        <v>-1.5</v>
      </c>
    </row>
    <row r="24">
      <c r="A24" s="216">
        <v>21.0</v>
      </c>
      <c r="B24" s="105" t="s">
        <v>90</v>
      </c>
      <c r="C24" s="68"/>
      <c r="D24" s="74" t="s">
        <v>153</v>
      </c>
      <c r="E24" s="74" t="s">
        <v>154</v>
      </c>
      <c r="F24" s="167" t="s">
        <v>672</v>
      </c>
      <c r="G24" s="167" t="s">
        <v>673</v>
      </c>
      <c r="H24" s="222"/>
      <c r="I24" s="221">
        <v>2.0</v>
      </c>
      <c r="J24" s="221">
        <v>1.0</v>
      </c>
      <c r="K24" s="167" t="s">
        <v>672</v>
      </c>
      <c r="L24" s="167" t="s">
        <v>673</v>
      </c>
      <c r="M24" s="222"/>
      <c r="N24" s="221">
        <v>2.0</v>
      </c>
      <c r="O24" s="221">
        <v>1.0</v>
      </c>
      <c r="P24" s="167" t="s">
        <v>672</v>
      </c>
      <c r="Q24" s="167" t="s">
        <v>673</v>
      </c>
      <c r="R24" s="222"/>
      <c r="S24" s="221">
        <v>2.0</v>
      </c>
      <c r="T24" s="221">
        <v>1.0</v>
      </c>
      <c r="U24" s="2" t="s">
        <v>92</v>
      </c>
      <c r="V24" s="2" t="s">
        <v>667</v>
      </c>
      <c r="W24" s="222"/>
      <c r="X24" s="221">
        <v>2.0</v>
      </c>
      <c r="Y24" s="221">
        <v>1.0</v>
      </c>
      <c r="Z24" s="223">
        <v>2.0</v>
      </c>
      <c r="AA24" s="223">
        <v>0.0</v>
      </c>
      <c r="AB24" s="223">
        <v>0.0</v>
      </c>
      <c r="AC24" s="223">
        <v>0.0</v>
      </c>
      <c r="AD24" s="224">
        <v>3.0</v>
      </c>
      <c r="AE24" s="174">
        <f t="shared" si="1"/>
        <v>14</v>
      </c>
      <c r="AF24" s="225">
        <f t="shared" si="2"/>
        <v>0.5</v>
      </c>
    </row>
    <row r="25">
      <c r="A25" s="39">
        <v>22.0</v>
      </c>
      <c r="B25" s="62" t="s">
        <v>90</v>
      </c>
      <c r="C25" s="59"/>
      <c r="D25" s="54" t="s">
        <v>162</v>
      </c>
      <c r="E25" s="54" t="s">
        <v>163</v>
      </c>
      <c r="F25" s="167" t="s">
        <v>672</v>
      </c>
      <c r="G25" s="167" t="s">
        <v>673</v>
      </c>
      <c r="H25" s="222"/>
      <c r="I25" s="221">
        <v>1.5</v>
      </c>
      <c r="J25" s="221">
        <v>2.0</v>
      </c>
      <c r="K25" s="2" t="s">
        <v>92</v>
      </c>
      <c r="L25" s="2" t="s">
        <v>667</v>
      </c>
      <c r="M25" s="222"/>
      <c r="N25" s="221">
        <v>2.0</v>
      </c>
      <c r="O25" s="221">
        <v>2.0</v>
      </c>
      <c r="P25" s="2" t="s">
        <v>92</v>
      </c>
      <c r="Q25" s="2" t="s">
        <v>667</v>
      </c>
      <c r="R25" s="222"/>
      <c r="S25" s="221">
        <v>2.0</v>
      </c>
      <c r="T25" s="221">
        <v>2.0</v>
      </c>
      <c r="U25" s="2" t="s">
        <v>92</v>
      </c>
      <c r="V25" s="2" t="s">
        <v>667</v>
      </c>
      <c r="W25" s="222"/>
      <c r="X25" s="221">
        <v>0.0</v>
      </c>
      <c r="Y25" s="221">
        <v>2.0</v>
      </c>
      <c r="Z25" s="223">
        <v>0.0</v>
      </c>
      <c r="AA25" s="223">
        <v>0.0</v>
      </c>
      <c r="AB25" s="223">
        <v>0.0</v>
      </c>
      <c r="AC25" s="223">
        <v>0.0</v>
      </c>
      <c r="AD25" s="224">
        <v>1.0</v>
      </c>
      <c r="AE25" s="174">
        <f t="shared" si="1"/>
        <v>13.5</v>
      </c>
      <c r="AF25" s="225">
        <f t="shared" si="2"/>
        <v>1</v>
      </c>
    </row>
    <row r="26">
      <c r="A26" s="216">
        <v>23.0</v>
      </c>
      <c r="B26" s="105" t="s">
        <v>90</v>
      </c>
      <c r="C26" s="68"/>
      <c r="D26" s="70" t="s">
        <v>165</v>
      </c>
      <c r="E26" s="74" t="s">
        <v>166</v>
      </c>
      <c r="F26" s="167" t="s">
        <v>672</v>
      </c>
      <c r="G26" s="167" t="s">
        <v>673</v>
      </c>
      <c r="H26" s="222"/>
      <c r="I26" s="221">
        <v>2.0</v>
      </c>
      <c r="J26" s="221">
        <v>2.0</v>
      </c>
      <c r="K26" s="2" t="s">
        <v>92</v>
      </c>
      <c r="L26" s="2" t="s">
        <v>667</v>
      </c>
      <c r="M26" s="222"/>
      <c r="N26" s="221">
        <v>2.0</v>
      </c>
      <c r="O26" s="221">
        <v>2.0</v>
      </c>
      <c r="P26" s="2" t="s">
        <v>92</v>
      </c>
      <c r="Q26" s="167" t="s">
        <v>707</v>
      </c>
      <c r="R26" s="221" t="s">
        <v>708</v>
      </c>
      <c r="S26" s="221">
        <v>2.0</v>
      </c>
      <c r="T26" s="221">
        <v>2.0</v>
      </c>
      <c r="U26" s="2" t="s">
        <v>92</v>
      </c>
      <c r="V26" s="2" t="s">
        <v>667</v>
      </c>
      <c r="W26" s="222"/>
      <c r="X26" s="221">
        <v>2.0</v>
      </c>
      <c r="Y26" s="221">
        <v>2.0</v>
      </c>
      <c r="Z26" s="223">
        <v>0.0</v>
      </c>
      <c r="AA26" s="223">
        <v>0.0</v>
      </c>
      <c r="AB26" s="223">
        <v>0.0</v>
      </c>
      <c r="AC26" s="223">
        <v>0.0</v>
      </c>
      <c r="AD26" s="224">
        <v>1.0</v>
      </c>
      <c r="AE26" s="174">
        <f t="shared" si="1"/>
        <v>16</v>
      </c>
      <c r="AF26" s="225">
        <f t="shared" si="2"/>
        <v>-1.5</v>
      </c>
    </row>
    <row r="27">
      <c r="A27" s="39">
        <v>24.0</v>
      </c>
      <c r="B27" s="62" t="s">
        <v>90</v>
      </c>
      <c r="C27" s="59"/>
      <c r="D27" s="43" t="s">
        <v>175</v>
      </c>
      <c r="E27" s="43" t="s">
        <v>80</v>
      </c>
      <c r="F27" s="2" t="s">
        <v>92</v>
      </c>
      <c r="G27" s="2" t="s">
        <v>667</v>
      </c>
      <c r="H27" s="222"/>
      <c r="I27" s="221">
        <v>2.0</v>
      </c>
      <c r="J27" s="221">
        <v>2.0</v>
      </c>
      <c r="K27" s="2" t="s">
        <v>92</v>
      </c>
      <c r="L27" s="2" t="s">
        <v>667</v>
      </c>
      <c r="M27" s="222"/>
      <c r="N27" s="221">
        <v>2.0</v>
      </c>
      <c r="O27" s="221">
        <v>2.0</v>
      </c>
      <c r="P27" s="2" t="s">
        <v>92</v>
      </c>
      <c r="Q27" s="2" t="s">
        <v>667</v>
      </c>
      <c r="R27" s="222"/>
      <c r="S27" s="221">
        <v>2.0</v>
      </c>
      <c r="T27" s="221">
        <v>2.0</v>
      </c>
      <c r="U27" s="2" t="s">
        <v>92</v>
      </c>
      <c r="V27" s="2" t="s">
        <v>667</v>
      </c>
      <c r="W27" s="222"/>
      <c r="X27" s="221">
        <v>1.5</v>
      </c>
      <c r="Y27" s="221">
        <v>2.0</v>
      </c>
      <c r="Z27" s="223">
        <v>0.0</v>
      </c>
      <c r="AA27" s="223">
        <v>0.0</v>
      </c>
      <c r="AB27" s="223">
        <v>0.0</v>
      </c>
      <c r="AC27" s="223">
        <v>0.0</v>
      </c>
      <c r="AD27" s="224">
        <v>0.0</v>
      </c>
      <c r="AE27" s="174">
        <f t="shared" si="1"/>
        <v>15.5</v>
      </c>
      <c r="AF27" s="225">
        <f t="shared" si="2"/>
        <v>-1</v>
      </c>
    </row>
    <row r="28">
      <c r="A28" s="216">
        <v>25.0</v>
      </c>
      <c r="B28" s="62" t="s">
        <v>90</v>
      </c>
      <c r="C28" s="59"/>
      <c r="D28" s="46" t="s">
        <v>180</v>
      </c>
      <c r="E28" s="46" t="s">
        <v>181</v>
      </c>
      <c r="F28" s="2" t="s">
        <v>92</v>
      </c>
      <c r="G28" s="2" t="s">
        <v>667</v>
      </c>
      <c r="H28" s="222"/>
      <c r="I28" s="221">
        <v>0.0</v>
      </c>
      <c r="J28" s="221">
        <v>2.0</v>
      </c>
      <c r="K28" s="2" t="s">
        <v>92</v>
      </c>
      <c r="L28" s="2" t="s">
        <v>667</v>
      </c>
      <c r="M28" s="222"/>
      <c r="N28" s="221">
        <v>2.0</v>
      </c>
      <c r="O28" s="221">
        <v>2.0</v>
      </c>
      <c r="P28" s="2" t="s">
        <v>92</v>
      </c>
      <c r="Q28" s="2" t="s">
        <v>667</v>
      </c>
      <c r="R28" s="222"/>
      <c r="S28" s="221">
        <v>2.0</v>
      </c>
      <c r="T28" s="221">
        <v>2.0</v>
      </c>
      <c r="U28" s="2" t="s">
        <v>92</v>
      </c>
      <c r="V28" s="2" t="s">
        <v>667</v>
      </c>
      <c r="W28" s="222"/>
      <c r="X28" s="221">
        <v>2.0</v>
      </c>
      <c r="Y28" s="221">
        <v>2.0</v>
      </c>
      <c r="Z28" s="223">
        <v>0.0</v>
      </c>
      <c r="AA28" s="223">
        <v>0.0</v>
      </c>
      <c r="AB28" s="223">
        <v>0.0</v>
      </c>
      <c r="AC28" s="223">
        <v>0.0</v>
      </c>
      <c r="AD28" s="224">
        <v>0.0</v>
      </c>
      <c r="AE28" s="174">
        <f t="shared" si="1"/>
        <v>14</v>
      </c>
      <c r="AF28" s="225">
        <f t="shared" si="2"/>
        <v>0.5</v>
      </c>
    </row>
    <row r="29">
      <c r="A29" s="39">
        <v>26.0</v>
      </c>
      <c r="B29" s="105" t="s">
        <v>90</v>
      </c>
      <c r="C29" s="68"/>
      <c r="D29" s="70" t="s">
        <v>184</v>
      </c>
      <c r="E29" s="74" t="s">
        <v>185</v>
      </c>
      <c r="F29" s="2" t="s">
        <v>92</v>
      </c>
      <c r="G29" s="2" t="s">
        <v>667</v>
      </c>
      <c r="H29" s="222"/>
      <c r="I29" s="221">
        <v>2.0</v>
      </c>
      <c r="J29" s="221">
        <v>2.0</v>
      </c>
      <c r="K29" s="2" t="s">
        <v>92</v>
      </c>
      <c r="L29" s="2" t="s">
        <v>667</v>
      </c>
      <c r="M29" s="222"/>
      <c r="N29" s="221">
        <v>2.0</v>
      </c>
      <c r="O29" s="221">
        <v>2.0</v>
      </c>
      <c r="P29" s="167" t="s">
        <v>92</v>
      </c>
      <c r="Q29" s="167" t="s">
        <v>707</v>
      </c>
      <c r="R29" s="221" t="s">
        <v>711</v>
      </c>
      <c r="S29" s="221">
        <v>2.0</v>
      </c>
      <c r="T29" s="221">
        <v>2.0</v>
      </c>
      <c r="U29" s="167" t="s">
        <v>672</v>
      </c>
      <c r="V29" s="167" t="s">
        <v>673</v>
      </c>
      <c r="W29" s="221" t="s">
        <v>712</v>
      </c>
      <c r="X29" s="221">
        <v>2.0</v>
      </c>
      <c r="Y29" s="221">
        <v>0.0</v>
      </c>
      <c r="Z29" s="223">
        <v>0.0</v>
      </c>
      <c r="AA29" s="223">
        <v>0.0</v>
      </c>
      <c r="AB29" s="223">
        <v>0.0</v>
      </c>
      <c r="AC29" s="223">
        <v>0.0</v>
      </c>
      <c r="AD29" s="224">
        <v>1.0</v>
      </c>
      <c r="AE29" s="174">
        <f t="shared" si="1"/>
        <v>14</v>
      </c>
      <c r="AF29" s="225">
        <f t="shared" si="2"/>
        <v>0.5</v>
      </c>
    </row>
    <row r="30">
      <c r="A30" s="216">
        <v>27.0</v>
      </c>
      <c r="B30" s="62" t="s">
        <v>90</v>
      </c>
      <c r="C30" s="59"/>
      <c r="D30" s="54" t="s">
        <v>193</v>
      </c>
      <c r="E30" s="54" t="s">
        <v>194</v>
      </c>
      <c r="F30" s="218" t="s">
        <v>92</v>
      </c>
      <c r="G30" s="2" t="s">
        <v>667</v>
      </c>
      <c r="H30" s="222"/>
      <c r="I30" s="221">
        <v>1.0</v>
      </c>
      <c r="J30" s="221">
        <v>2.0</v>
      </c>
      <c r="K30" s="2" t="s">
        <v>92</v>
      </c>
      <c r="L30" s="2" t="s">
        <v>667</v>
      </c>
      <c r="M30" s="222"/>
      <c r="N30" s="221">
        <v>2.0</v>
      </c>
      <c r="O30" s="221">
        <v>2.0</v>
      </c>
      <c r="P30" s="2" t="s">
        <v>92</v>
      </c>
      <c r="Q30" s="2" t="s">
        <v>667</v>
      </c>
      <c r="R30" s="222"/>
      <c r="S30" s="221">
        <v>2.0</v>
      </c>
      <c r="T30" s="221">
        <v>2.0</v>
      </c>
      <c r="U30" s="2" t="s">
        <v>92</v>
      </c>
      <c r="V30" s="2" t="s">
        <v>667</v>
      </c>
      <c r="W30" s="222"/>
      <c r="X30" s="221">
        <v>2.0</v>
      </c>
      <c r="Y30" s="221">
        <v>2.0</v>
      </c>
      <c r="Z30" s="223">
        <v>0.0</v>
      </c>
      <c r="AA30" s="223">
        <v>0.0</v>
      </c>
      <c r="AB30" s="223">
        <v>0.0</v>
      </c>
      <c r="AC30" s="223">
        <v>0.0</v>
      </c>
      <c r="AD30" s="224">
        <v>0.0</v>
      </c>
      <c r="AE30" s="174">
        <f t="shared" si="1"/>
        <v>15</v>
      </c>
      <c r="AF30" s="225">
        <f t="shared" si="2"/>
        <v>-0.5</v>
      </c>
    </row>
    <row r="31">
      <c r="A31" s="39">
        <v>28.0</v>
      </c>
      <c r="B31" s="62" t="s">
        <v>90</v>
      </c>
      <c r="C31" s="59"/>
      <c r="D31" s="54" t="s">
        <v>199</v>
      </c>
      <c r="E31" s="54" t="s">
        <v>200</v>
      </c>
      <c r="F31" s="218" t="s">
        <v>92</v>
      </c>
      <c r="G31" s="2" t="s">
        <v>667</v>
      </c>
      <c r="H31" s="222"/>
      <c r="I31" s="221">
        <v>2.0</v>
      </c>
      <c r="J31" s="221">
        <v>2.0</v>
      </c>
      <c r="K31" s="2" t="s">
        <v>92</v>
      </c>
      <c r="L31" s="2" t="s">
        <v>667</v>
      </c>
      <c r="M31" s="222"/>
      <c r="N31" s="221">
        <v>2.0</v>
      </c>
      <c r="O31" s="221">
        <v>2.0</v>
      </c>
      <c r="P31" s="2" t="s">
        <v>92</v>
      </c>
      <c r="Q31" s="2" t="s">
        <v>667</v>
      </c>
      <c r="R31" s="222"/>
      <c r="S31" s="221">
        <v>2.0</v>
      </c>
      <c r="T31" s="221">
        <v>2.0</v>
      </c>
      <c r="U31" s="2" t="s">
        <v>92</v>
      </c>
      <c r="V31" s="2" t="s">
        <v>667</v>
      </c>
      <c r="W31" s="222"/>
      <c r="X31" s="221">
        <v>2.0</v>
      </c>
      <c r="Y31" s="221">
        <v>0.0</v>
      </c>
      <c r="Z31" s="223">
        <v>0.0</v>
      </c>
      <c r="AA31" s="223">
        <v>0.0</v>
      </c>
      <c r="AB31" s="223">
        <v>0.0</v>
      </c>
      <c r="AC31" s="223">
        <v>0.0</v>
      </c>
      <c r="AD31" s="224">
        <v>0.0</v>
      </c>
      <c r="AE31" s="174">
        <f t="shared" si="1"/>
        <v>14</v>
      </c>
      <c r="AF31" s="225">
        <f t="shared" si="2"/>
        <v>0.5</v>
      </c>
    </row>
    <row r="32">
      <c r="A32" s="216">
        <v>29.0</v>
      </c>
      <c r="B32" s="62" t="s">
        <v>90</v>
      </c>
      <c r="C32" s="59"/>
      <c r="D32" s="46" t="s">
        <v>206</v>
      </c>
      <c r="E32" s="46" t="s">
        <v>397</v>
      </c>
      <c r="F32" s="218" t="s">
        <v>92</v>
      </c>
      <c r="G32" s="2" t="s">
        <v>667</v>
      </c>
      <c r="H32" s="222"/>
      <c r="I32" s="221">
        <v>0.0</v>
      </c>
      <c r="J32" s="221">
        <v>2.0</v>
      </c>
      <c r="K32" s="2" t="s">
        <v>92</v>
      </c>
      <c r="L32" s="2" t="s">
        <v>667</v>
      </c>
      <c r="M32" s="222"/>
      <c r="N32" s="221">
        <v>2.0</v>
      </c>
      <c r="O32" s="221">
        <v>2.0</v>
      </c>
      <c r="P32" s="2" t="s">
        <v>92</v>
      </c>
      <c r="Q32" s="2" t="s">
        <v>667</v>
      </c>
      <c r="R32" s="222"/>
      <c r="S32" s="221">
        <v>2.0</v>
      </c>
      <c r="T32" s="221">
        <v>2.0</v>
      </c>
      <c r="U32" s="2" t="s">
        <v>92</v>
      </c>
      <c r="V32" s="2" t="s">
        <v>667</v>
      </c>
      <c r="W32" s="222"/>
      <c r="X32" s="221">
        <v>2.0</v>
      </c>
      <c r="Y32" s="221">
        <v>2.0</v>
      </c>
      <c r="Z32" s="223">
        <v>2.0</v>
      </c>
      <c r="AA32" s="223">
        <v>0.0</v>
      </c>
      <c r="AB32" s="223">
        <v>0.0</v>
      </c>
      <c r="AC32" s="223">
        <v>0.0</v>
      </c>
      <c r="AD32" s="224">
        <v>0.0</v>
      </c>
      <c r="AE32" s="174">
        <f t="shared" si="1"/>
        <v>16</v>
      </c>
      <c r="AF32" s="225">
        <f t="shared" si="2"/>
        <v>-1.5</v>
      </c>
    </row>
    <row r="33">
      <c r="A33" s="39">
        <v>30.0</v>
      </c>
      <c r="B33" s="62" t="s">
        <v>90</v>
      </c>
      <c r="C33" s="59"/>
      <c r="D33" s="36" t="s">
        <v>210</v>
      </c>
      <c r="E33" s="36" t="s">
        <v>211</v>
      </c>
      <c r="F33" s="218" t="s">
        <v>92</v>
      </c>
      <c r="G33" s="2" t="s">
        <v>667</v>
      </c>
      <c r="H33" s="221" t="s">
        <v>668</v>
      </c>
      <c r="I33" s="221">
        <v>2.0</v>
      </c>
      <c r="J33" s="221">
        <v>2.0</v>
      </c>
      <c r="K33" s="2" t="s">
        <v>92</v>
      </c>
      <c r="L33" s="2" t="s">
        <v>667</v>
      </c>
      <c r="M33" s="222"/>
      <c r="N33" s="221">
        <v>2.0</v>
      </c>
      <c r="O33" s="221">
        <v>1.0</v>
      </c>
      <c r="P33" s="167" t="s">
        <v>672</v>
      </c>
      <c r="Q33" s="167" t="s">
        <v>673</v>
      </c>
      <c r="R33" s="222"/>
      <c r="S33" s="221">
        <v>2.0</v>
      </c>
      <c r="T33" s="221">
        <v>1.0</v>
      </c>
      <c r="U33" s="167" t="s">
        <v>672</v>
      </c>
      <c r="V33" s="167" t="s">
        <v>673</v>
      </c>
      <c r="W33" s="221" t="s">
        <v>715</v>
      </c>
      <c r="X33" s="221">
        <v>2.0</v>
      </c>
      <c r="Y33" s="221">
        <v>1.0</v>
      </c>
      <c r="Z33" s="223">
        <v>2.0</v>
      </c>
      <c r="AA33" s="223">
        <v>0.0</v>
      </c>
      <c r="AB33" s="223">
        <v>0.0</v>
      </c>
      <c r="AC33" s="223">
        <v>0.0</v>
      </c>
      <c r="AD33" s="224">
        <v>2.0</v>
      </c>
      <c r="AE33" s="174">
        <f t="shared" si="1"/>
        <v>15</v>
      </c>
      <c r="AF33" s="225">
        <f t="shared" si="2"/>
        <v>-0.5</v>
      </c>
    </row>
    <row r="34">
      <c r="A34" s="216">
        <v>31.0</v>
      </c>
      <c r="B34" s="62" t="s">
        <v>90</v>
      </c>
      <c r="C34" s="59"/>
      <c r="D34" s="43" t="s">
        <v>219</v>
      </c>
      <c r="E34" s="43" t="s">
        <v>415</v>
      </c>
      <c r="F34" s="218" t="s">
        <v>92</v>
      </c>
      <c r="G34" s="2" t="s">
        <v>667</v>
      </c>
      <c r="H34" s="222"/>
      <c r="I34" s="221">
        <v>2.0</v>
      </c>
      <c r="J34" s="221">
        <v>2.0</v>
      </c>
      <c r="K34" s="2" t="s">
        <v>92</v>
      </c>
      <c r="L34" s="2" t="s">
        <v>667</v>
      </c>
      <c r="M34" s="222"/>
      <c r="N34" s="221">
        <v>2.0</v>
      </c>
      <c r="O34" s="221">
        <v>2.0</v>
      </c>
      <c r="P34" s="2" t="s">
        <v>92</v>
      </c>
      <c r="Q34" s="2" t="s">
        <v>667</v>
      </c>
      <c r="R34" s="222"/>
      <c r="S34" s="221">
        <v>2.0</v>
      </c>
      <c r="T34" s="221">
        <v>2.0</v>
      </c>
      <c r="U34" s="167" t="s">
        <v>672</v>
      </c>
      <c r="V34" s="167" t="s">
        <v>673</v>
      </c>
      <c r="W34" s="222"/>
      <c r="X34" s="221">
        <v>0.0</v>
      </c>
      <c r="Y34" s="221">
        <v>0.0</v>
      </c>
      <c r="Z34" s="223">
        <v>0.0</v>
      </c>
      <c r="AA34" s="223">
        <v>0.0</v>
      </c>
      <c r="AB34" s="223">
        <v>0.0</v>
      </c>
      <c r="AC34" s="223">
        <v>0.0</v>
      </c>
      <c r="AD34" s="224">
        <v>1.0</v>
      </c>
      <c r="AE34" s="174">
        <f t="shared" si="1"/>
        <v>12</v>
      </c>
      <c r="AF34" s="225">
        <f t="shared" si="2"/>
        <v>2.5</v>
      </c>
    </row>
    <row r="35">
      <c r="A35" s="39">
        <v>32.0</v>
      </c>
      <c r="B35" s="62" t="s">
        <v>90</v>
      </c>
      <c r="C35" s="55" t="s">
        <v>99</v>
      </c>
      <c r="D35" s="43" t="s">
        <v>219</v>
      </c>
      <c r="E35" s="43" t="s">
        <v>225</v>
      </c>
      <c r="F35" s="218" t="s">
        <v>92</v>
      </c>
      <c r="G35" s="2" t="s">
        <v>667</v>
      </c>
      <c r="H35" s="222"/>
      <c r="I35" s="221">
        <v>2.0</v>
      </c>
      <c r="J35" s="221">
        <v>2.0</v>
      </c>
      <c r="K35" s="2" t="s">
        <v>92</v>
      </c>
      <c r="L35" s="2" t="s">
        <v>667</v>
      </c>
      <c r="M35" s="222"/>
      <c r="N35" s="221">
        <v>2.0</v>
      </c>
      <c r="O35" s="221">
        <v>2.0</v>
      </c>
      <c r="P35" s="2" t="s">
        <v>92</v>
      </c>
      <c r="Q35" s="2" t="s">
        <v>667</v>
      </c>
      <c r="R35" s="222"/>
      <c r="S35" s="221">
        <v>2.0</v>
      </c>
      <c r="T35" s="221">
        <v>2.0</v>
      </c>
      <c r="U35" s="2" t="s">
        <v>92</v>
      </c>
      <c r="V35" s="2" t="s">
        <v>667</v>
      </c>
      <c r="W35" s="222"/>
      <c r="X35" s="221">
        <v>2.0</v>
      </c>
      <c r="Y35" s="221">
        <v>2.0</v>
      </c>
      <c r="Z35" s="223">
        <v>2.0</v>
      </c>
      <c r="AA35" s="223">
        <v>0.0</v>
      </c>
      <c r="AB35" s="223">
        <v>0.0</v>
      </c>
      <c r="AC35" s="223">
        <v>0.0</v>
      </c>
      <c r="AD35" s="224">
        <v>0.0</v>
      </c>
      <c r="AE35" s="174">
        <f t="shared" si="1"/>
        <v>18</v>
      </c>
      <c r="AF35" s="225">
        <f t="shared" si="2"/>
        <v>-3.5</v>
      </c>
    </row>
    <row r="36">
      <c r="A36" s="216">
        <v>33.0</v>
      </c>
      <c r="B36" s="62" t="s">
        <v>90</v>
      </c>
      <c r="C36" s="59"/>
      <c r="D36" s="99" t="s">
        <v>233</v>
      </c>
      <c r="E36" s="99" t="s">
        <v>234</v>
      </c>
      <c r="F36" s="218" t="s">
        <v>92</v>
      </c>
      <c r="G36" s="2" t="s">
        <v>667</v>
      </c>
      <c r="H36" s="222"/>
      <c r="I36" s="221">
        <v>2.0</v>
      </c>
      <c r="J36" s="221">
        <v>2.0</v>
      </c>
      <c r="K36" s="2" t="s">
        <v>92</v>
      </c>
      <c r="L36" s="2" t="s">
        <v>667</v>
      </c>
      <c r="M36" s="222"/>
      <c r="N36" s="221">
        <v>2.0</v>
      </c>
      <c r="O36" s="221">
        <v>2.0</v>
      </c>
      <c r="P36" s="2" t="s">
        <v>92</v>
      </c>
      <c r="Q36" s="2" t="s">
        <v>667</v>
      </c>
      <c r="R36" s="222"/>
      <c r="S36" s="221">
        <v>2.0</v>
      </c>
      <c r="T36" s="221">
        <v>2.0</v>
      </c>
      <c r="U36" s="167" t="s">
        <v>672</v>
      </c>
      <c r="V36" s="167" t="s">
        <v>673</v>
      </c>
      <c r="W36" s="222"/>
      <c r="X36" s="221">
        <v>0.0</v>
      </c>
      <c r="Y36" s="221">
        <v>0.0</v>
      </c>
      <c r="Z36" s="223">
        <v>0.0</v>
      </c>
      <c r="AA36" s="223">
        <v>0.0</v>
      </c>
      <c r="AB36" s="223">
        <v>0.0</v>
      </c>
      <c r="AC36" s="223">
        <v>0.0</v>
      </c>
      <c r="AD36" s="224">
        <v>1.0</v>
      </c>
      <c r="AE36" s="174">
        <f t="shared" si="1"/>
        <v>12</v>
      </c>
      <c r="AF36" s="225">
        <f t="shared" si="2"/>
        <v>2.5</v>
      </c>
    </row>
    <row r="37">
      <c r="A37" s="39">
        <v>34.0</v>
      </c>
      <c r="B37" s="117" t="s">
        <v>90</v>
      </c>
      <c r="C37" s="113"/>
      <c r="D37" s="114" t="s">
        <v>243</v>
      </c>
      <c r="E37" s="114" t="s">
        <v>244</v>
      </c>
      <c r="F37" s="218" t="s">
        <v>92</v>
      </c>
      <c r="G37" s="2" t="s">
        <v>667</v>
      </c>
      <c r="H37" s="222"/>
      <c r="I37" s="221">
        <v>2.0</v>
      </c>
      <c r="J37" s="221">
        <v>1.0</v>
      </c>
      <c r="K37" s="2" t="s">
        <v>92</v>
      </c>
      <c r="L37" s="2" t="s">
        <v>667</v>
      </c>
      <c r="M37" s="222"/>
      <c r="N37" s="221">
        <v>2.0</v>
      </c>
      <c r="O37" s="221">
        <v>0.0</v>
      </c>
      <c r="P37" s="167" t="s">
        <v>672</v>
      </c>
      <c r="Q37" s="167" t="s">
        <v>673</v>
      </c>
      <c r="R37" s="221" t="s">
        <v>716</v>
      </c>
      <c r="S37" s="221">
        <v>2.0</v>
      </c>
      <c r="T37" s="221">
        <v>1.0</v>
      </c>
      <c r="U37" s="2" t="s">
        <v>92</v>
      </c>
      <c r="V37" s="2" t="s">
        <v>667</v>
      </c>
      <c r="W37" s="222"/>
      <c r="X37" s="221">
        <v>2.0</v>
      </c>
      <c r="Y37" s="221">
        <v>1.0</v>
      </c>
      <c r="Z37" s="223">
        <v>2.0</v>
      </c>
      <c r="AA37" s="223">
        <v>0.0</v>
      </c>
      <c r="AB37" s="223">
        <v>0.0</v>
      </c>
      <c r="AC37" s="223">
        <v>0.0</v>
      </c>
      <c r="AD37" s="224">
        <v>1.0</v>
      </c>
      <c r="AE37" s="174">
        <f t="shared" si="1"/>
        <v>13</v>
      </c>
      <c r="AF37" s="225">
        <f t="shared" si="2"/>
        <v>1.5</v>
      </c>
    </row>
    <row r="38">
      <c r="A38" s="216">
        <v>35.0</v>
      </c>
      <c r="B38" s="62" t="s">
        <v>90</v>
      </c>
      <c r="C38" s="55" t="s">
        <v>99</v>
      </c>
      <c r="D38" s="43" t="s">
        <v>435</v>
      </c>
      <c r="E38" s="43" t="s">
        <v>255</v>
      </c>
      <c r="F38" s="218" t="s">
        <v>92</v>
      </c>
      <c r="G38" s="2" t="s">
        <v>667</v>
      </c>
      <c r="H38" s="222"/>
      <c r="I38" s="221">
        <v>2.0</v>
      </c>
      <c r="J38" s="221">
        <v>2.0</v>
      </c>
      <c r="K38" s="167" t="s">
        <v>672</v>
      </c>
      <c r="L38" s="167" t="s">
        <v>684</v>
      </c>
      <c r="M38" s="222"/>
      <c r="N38" s="221">
        <v>0.0</v>
      </c>
      <c r="O38" s="221">
        <v>0.0</v>
      </c>
      <c r="P38" s="167" t="s">
        <v>672</v>
      </c>
      <c r="Q38" s="167" t="s">
        <v>684</v>
      </c>
      <c r="R38" s="222"/>
      <c r="S38" s="221">
        <v>0.0</v>
      </c>
      <c r="T38" s="221">
        <v>0.0</v>
      </c>
      <c r="U38" s="2" t="s">
        <v>92</v>
      </c>
      <c r="V38" s="2" t="s">
        <v>667</v>
      </c>
      <c r="W38" s="222"/>
      <c r="X38" s="221">
        <v>2.0</v>
      </c>
      <c r="Y38" s="221">
        <v>2.0</v>
      </c>
      <c r="Z38" s="223">
        <v>2.0</v>
      </c>
      <c r="AA38" s="223">
        <v>0.0</v>
      </c>
      <c r="AB38" s="223">
        <v>0.0</v>
      </c>
      <c r="AC38" s="223">
        <v>0.0</v>
      </c>
      <c r="AD38" s="224">
        <v>2.0</v>
      </c>
      <c r="AE38" s="174">
        <f t="shared" si="1"/>
        <v>10</v>
      </c>
      <c r="AF38" s="225">
        <f t="shared" si="2"/>
        <v>4.5</v>
      </c>
    </row>
    <row r="39">
      <c r="A39" s="39">
        <v>36.0</v>
      </c>
      <c r="B39" s="62" t="s">
        <v>90</v>
      </c>
      <c r="C39" s="59"/>
      <c r="D39" s="46" t="s">
        <v>261</v>
      </c>
      <c r="E39" s="46" t="s">
        <v>444</v>
      </c>
      <c r="F39" s="219" t="s">
        <v>672</v>
      </c>
      <c r="G39" s="167" t="s">
        <v>673</v>
      </c>
      <c r="H39" s="222"/>
      <c r="I39" s="221">
        <v>0.0</v>
      </c>
      <c r="J39" s="221">
        <v>0.0</v>
      </c>
      <c r="K39" s="2" t="s">
        <v>92</v>
      </c>
      <c r="L39" s="2" t="s">
        <v>667</v>
      </c>
      <c r="M39" s="222"/>
      <c r="N39" s="221">
        <v>2.0</v>
      </c>
      <c r="O39" s="221">
        <v>2.0</v>
      </c>
      <c r="P39" s="2" t="s">
        <v>92</v>
      </c>
      <c r="Q39" s="2" t="s">
        <v>667</v>
      </c>
      <c r="R39" s="222"/>
      <c r="S39" s="221">
        <v>1.5</v>
      </c>
      <c r="T39" s="221">
        <v>2.0</v>
      </c>
      <c r="U39" s="2" t="s">
        <v>92</v>
      </c>
      <c r="V39" s="2" t="s">
        <v>667</v>
      </c>
      <c r="W39" s="222"/>
      <c r="X39" s="221">
        <v>2.0</v>
      </c>
      <c r="Y39" s="221">
        <v>2.0</v>
      </c>
      <c r="Z39" s="223">
        <v>2.0</v>
      </c>
      <c r="AA39" s="223">
        <v>0.0</v>
      </c>
      <c r="AB39" s="223">
        <v>0.0</v>
      </c>
      <c r="AC39" s="223">
        <v>0.0</v>
      </c>
      <c r="AD39" s="224">
        <v>1.0</v>
      </c>
      <c r="AE39" s="174">
        <f t="shared" si="1"/>
        <v>13.5</v>
      </c>
      <c r="AF39" s="225">
        <f t="shared" si="2"/>
        <v>1</v>
      </c>
    </row>
    <row r="40">
      <c r="A40" s="216">
        <v>37.0</v>
      </c>
      <c r="B40" s="62" t="s">
        <v>90</v>
      </c>
      <c r="C40" s="59"/>
      <c r="D40" s="46" t="s">
        <v>270</v>
      </c>
      <c r="E40" s="46" t="s">
        <v>271</v>
      </c>
      <c r="F40" s="218" t="s">
        <v>92</v>
      </c>
      <c r="G40" s="2" t="s">
        <v>667</v>
      </c>
      <c r="H40" s="222"/>
      <c r="I40" s="221">
        <v>0.0</v>
      </c>
      <c r="J40" s="221">
        <v>2.0</v>
      </c>
      <c r="K40" s="2" t="s">
        <v>92</v>
      </c>
      <c r="L40" s="2" t="s">
        <v>667</v>
      </c>
      <c r="M40" s="222"/>
      <c r="N40" s="221">
        <v>2.0</v>
      </c>
      <c r="O40" s="221">
        <v>2.0</v>
      </c>
      <c r="P40" s="2" t="s">
        <v>92</v>
      </c>
      <c r="Q40" s="2" t="s">
        <v>667</v>
      </c>
      <c r="R40" s="222"/>
      <c r="S40" s="221">
        <v>2.0</v>
      </c>
      <c r="T40" s="221">
        <v>2.0</v>
      </c>
      <c r="U40" s="167" t="s">
        <v>672</v>
      </c>
      <c r="V40" s="167" t="s">
        <v>673</v>
      </c>
      <c r="W40" s="222"/>
      <c r="X40" s="221">
        <v>2.0</v>
      </c>
      <c r="Y40" s="221">
        <v>0.0</v>
      </c>
      <c r="Z40" s="223">
        <v>0.0</v>
      </c>
      <c r="AA40" s="223">
        <v>0.0</v>
      </c>
      <c r="AB40" s="223">
        <v>0.0</v>
      </c>
      <c r="AC40" s="223">
        <v>0.0</v>
      </c>
      <c r="AD40" s="224">
        <v>1.0</v>
      </c>
      <c r="AE40" s="174">
        <f t="shared" si="1"/>
        <v>12</v>
      </c>
      <c r="AF40" s="225">
        <f t="shared" si="2"/>
        <v>2.5</v>
      </c>
    </row>
    <row r="41">
      <c r="A41" s="39">
        <v>38.0</v>
      </c>
      <c r="B41" s="105" t="s">
        <v>90</v>
      </c>
      <c r="C41" s="68"/>
      <c r="D41" s="70" t="s">
        <v>275</v>
      </c>
      <c r="E41" s="74" t="s">
        <v>277</v>
      </c>
      <c r="F41" s="218" t="s">
        <v>92</v>
      </c>
      <c r="G41" s="2" t="s">
        <v>667</v>
      </c>
      <c r="H41" s="222"/>
      <c r="I41" s="221">
        <v>2.0</v>
      </c>
      <c r="J41" s="221">
        <v>2.0</v>
      </c>
      <c r="K41" s="2" t="s">
        <v>92</v>
      </c>
      <c r="L41" s="2" t="s">
        <v>667</v>
      </c>
      <c r="M41" s="222"/>
      <c r="N41" s="221">
        <v>2.0</v>
      </c>
      <c r="O41" s="221">
        <v>2.0</v>
      </c>
      <c r="P41" s="2" t="s">
        <v>92</v>
      </c>
      <c r="Q41" s="2" t="s">
        <v>667</v>
      </c>
      <c r="R41" s="222"/>
      <c r="S41" s="221">
        <v>2.0</v>
      </c>
      <c r="T41" s="221">
        <v>0.0</v>
      </c>
      <c r="U41" s="2" t="s">
        <v>92</v>
      </c>
      <c r="V41" s="2" t="s">
        <v>667</v>
      </c>
      <c r="W41" s="222"/>
      <c r="X41" s="221">
        <v>2.0</v>
      </c>
      <c r="Y41" s="221">
        <v>2.0</v>
      </c>
      <c r="Z41" s="223">
        <v>2.0</v>
      </c>
      <c r="AA41" s="223">
        <v>0.0</v>
      </c>
      <c r="AB41" s="223">
        <v>0.0</v>
      </c>
      <c r="AC41" s="223">
        <v>0.0</v>
      </c>
      <c r="AD41" s="224">
        <v>0.0</v>
      </c>
      <c r="AE41" s="174">
        <f t="shared" si="1"/>
        <v>16</v>
      </c>
      <c r="AF41" s="225">
        <f t="shared" si="2"/>
        <v>-1.5</v>
      </c>
    </row>
    <row r="42">
      <c r="A42" s="216">
        <v>39.0</v>
      </c>
      <c r="B42" s="62" t="s">
        <v>90</v>
      </c>
      <c r="C42" s="59"/>
      <c r="D42" s="43" t="s">
        <v>281</v>
      </c>
      <c r="E42" s="43" t="s">
        <v>282</v>
      </c>
      <c r="F42" s="218" t="s">
        <v>92</v>
      </c>
      <c r="G42" s="2" t="s">
        <v>667</v>
      </c>
      <c r="H42" s="221" t="s">
        <v>668</v>
      </c>
      <c r="I42" s="221">
        <v>2.0</v>
      </c>
      <c r="J42" s="221">
        <v>2.0</v>
      </c>
      <c r="K42" s="167" t="s">
        <v>672</v>
      </c>
      <c r="L42" s="167" t="s">
        <v>673</v>
      </c>
      <c r="M42" s="222"/>
      <c r="N42" s="221">
        <v>2.0</v>
      </c>
      <c r="O42" s="221">
        <v>2.0</v>
      </c>
      <c r="P42" s="167" t="s">
        <v>672</v>
      </c>
      <c r="Q42" s="167" t="s">
        <v>673</v>
      </c>
      <c r="R42" s="222"/>
      <c r="S42" s="221">
        <v>2.0</v>
      </c>
      <c r="T42" s="221">
        <v>0.0</v>
      </c>
      <c r="U42" s="2" t="s">
        <v>92</v>
      </c>
      <c r="V42" s="2" t="s">
        <v>667</v>
      </c>
      <c r="W42" s="222"/>
      <c r="X42" s="221">
        <v>2.0</v>
      </c>
      <c r="Y42" s="221">
        <v>0.0</v>
      </c>
      <c r="Z42" s="223">
        <v>0.0</v>
      </c>
      <c r="AA42" s="223">
        <v>0.0</v>
      </c>
      <c r="AB42" s="223">
        <v>0.0</v>
      </c>
      <c r="AC42" s="223">
        <v>0.0</v>
      </c>
      <c r="AD42" s="224">
        <v>2.0</v>
      </c>
      <c r="AE42" s="174">
        <f t="shared" si="1"/>
        <v>12</v>
      </c>
      <c r="AF42" s="225">
        <f t="shared" si="2"/>
        <v>2.5</v>
      </c>
    </row>
    <row r="43">
      <c r="A43" s="39">
        <v>40.0</v>
      </c>
      <c r="B43" s="117" t="s">
        <v>90</v>
      </c>
      <c r="C43" s="113"/>
      <c r="D43" s="115" t="s">
        <v>289</v>
      </c>
      <c r="E43" s="115" t="s">
        <v>246</v>
      </c>
      <c r="F43" s="218" t="s">
        <v>92</v>
      </c>
      <c r="G43" s="2" t="s">
        <v>667</v>
      </c>
      <c r="H43" s="222"/>
      <c r="I43" s="221">
        <v>2.0</v>
      </c>
      <c r="J43" s="221">
        <v>1.0</v>
      </c>
      <c r="K43" s="2" t="s">
        <v>92</v>
      </c>
      <c r="L43" s="2" t="s">
        <v>667</v>
      </c>
      <c r="M43" s="222"/>
      <c r="N43" s="221">
        <v>2.0</v>
      </c>
      <c r="O43" s="221">
        <v>0.0</v>
      </c>
      <c r="P43" s="2" t="s">
        <v>92</v>
      </c>
      <c r="Q43" s="2" t="s">
        <v>667</v>
      </c>
      <c r="R43" s="222"/>
      <c r="S43" s="221">
        <v>2.0</v>
      </c>
      <c r="T43" s="221">
        <v>1.0</v>
      </c>
      <c r="U43" s="2" t="s">
        <v>92</v>
      </c>
      <c r="V43" s="2" t="s">
        <v>667</v>
      </c>
      <c r="W43" s="222"/>
      <c r="X43" s="221">
        <v>2.0</v>
      </c>
      <c r="Y43" s="221">
        <v>1.0</v>
      </c>
      <c r="Z43" s="223">
        <v>2.0</v>
      </c>
      <c r="AA43" s="223">
        <v>0.0</v>
      </c>
      <c r="AB43" s="223">
        <v>0.0</v>
      </c>
      <c r="AC43" s="223">
        <v>0.0</v>
      </c>
      <c r="AD43" s="224">
        <v>0.0</v>
      </c>
      <c r="AE43" s="174">
        <f t="shared" si="1"/>
        <v>13</v>
      </c>
      <c r="AF43" s="225">
        <f t="shared" si="2"/>
        <v>1.5</v>
      </c>
    </row>
    <row r="44">
      <c r="A44" s="216">
        <v>41.0</v>
      </c>
      <c r="B44" s="62" t="s">
        <v>90</v>
      </c>
      <c r="C44" s="59"/>
      <c r="D44" s="46" t="s">
        <v>294</v>
      </c>
      <c r="E44" s="46" t="s">
        <v>295</v>
      </c>
      <c r="F44" s="218" t="s">
        <v>92</v>
      </c>
      <c r="G44" s="2" t="s">
        <v>667</v>
      </c>
      <c r="H44" s="222"/>
      <c r="I44" s="221">
        <v>2.0</v>
      </c>
      <c r="J44" s="221">
        <v>2.0</v>
      </c>
      <c r="K44" s="2" t="s">
        <v>92</v>
      </c>
      <c r="L44" s="2" t="s">
        <v>667</v>
      </c>
      <c r="M44" s="222"/>
      <c r="N44" s="221">
        <v>2.0</v>
      </c>
      <c r="O44" s="221">
        <v>2.0</v>
      </c>
      <c r="P44" s="2" t="s">
        <v>92</v>
      </c>
      <c r="Q44" s="2" t="s">
        <v>667</v>
      </c>
      <c r="R44" s="222"/>
      <c r="S44" s="221">
        <v>2.0</v>
      </c>
      <c r="T44" s="221">
        <v>0.0</v>
      </c>
      <c r="U44" s="167" t="s">
        <v>672</v>
      </c>
      <c r="V44" s="167" t="s">
        <v>673</v>
      </c>
      <c r="W44" s="222"/>
      <c r="X44" s="221">
        <v>2.0</v>
      </c>
      <c r="Y44" s="221">
        <v>2.0</v>
      </c>
      <c r="Z44" s="223">
        <v>0.0</v>
      </c>
      <c r="AA44" s="223">
        <v>0.0</v>
      </c>
      <c r="AB44" s="223">
        <v>0.0</v>
      </c>
      <c r="AC44" s="223">
        <v>0.0</v>
      </c>
      <c r="AD44" s="224">
        <v>1.0</v>
      </c>
      <c r="AE44" s="174">
        <f t="shared" si="1"/>
        <v>14</v>
      </c>
      <c r="AF44" s="225">
        <f t="shared" si="2"/>
        <v>0.5</v>
      </c>
    </row>
    <row r="45">
      <c r="A45" s="39">
        <v>42.0</v>
      </c>
      <c r="B45" s="62" t="s">
        <v>90</v>
      </c>
      <c r="C45" s="59"/>
      <c r="D45" s="36" t="s">
        <v>304</v>
      </c>
      <c r="E45" s="36" t="s">
        <v>305</v>
      </c>
      <c r="F45" s="218" t="s">
        <v>92</v>
      </c>
      <c r="G45" s="2" t="s">
        <v>667</v>
      </c>
      <c r="H45" s="222"/>
      <c r="I45" s="221">
        <v>2.0</v>
      </c>
      <c r="J45" s="221">
        <v>2.0</v>
      </c>
      <c r="K45" s="2" t="s">
        <v>92</v>
      </c>
      <c r="L45" s="2" t="s">
        <v>667</v>
      </c>
      <c r="M45" s="222"/>
      <c r="N45" s="221">
        <v>2.0</v>
      </c>
      <c r="O45" s="221">
        <v>2.0</v>
      </c>
      <c r="P45" s="2" t="s">
        <v>92</v>
      </c>
      <c r="Q45" s="2" t="s">
        <v>667</v>
      </c>
      <c r="R45" s="222"/>
      <c r="S45" s="221">
        <v>2.0</v>
      </c>
      <c r="T45" s="221">
        <v>0.0</v>
      </c>
      <c r="U45" s="2" t="s">
        <v>92</v>
      </c>
      <c r="V45" s="2" t="s">
        <v>667</v>
      </c>
      <c r="W45" s="222"/>
      <c r="X45" s="221">
        <v>2.0</v>
      </c>
      <c r="Y45" s="221">
        <v>2.0</v>
      </c>
      <c r="Z45" s="223">
        <v>0.0</v>
      </c>
      <c r="AA45" s="223">
        <v>0.0</v>
      </c>
      <c r="AB45" s="223">
        <v>0.0</v>
      </c>
      <c r="AC45" s="223">
        <v>0.0</v>
      </c>
      <c r="AD45" s="224">
        <v>0.0</v>
      </c>
      <c r="AE45" s="174">
        <f t="shared" si="1"/>
        <v>14</v>
      </c>
      <c r="AF45" s="225">
        <f t="shared" si="2"/>
        <v>0.5</v>
      </c>
    </row>
    <row r="46">
      <c r="A46" s="216">
        <v>43.0</v>
      </c>
      <c r="B46" s="62" t="s">
        <v>90</v>
      </c>
      <c r="C46" s="55" t="s">
        <v>99</v>
      </c>
      <c r="D46" s="46" t="s">
        <v>313</v>
      </c>
      <c r="E46" s="46" t="s">
        <v>315</v>
      </c>
      <c r="F46" s="218" t="s">
        <v>92</v>
      </c>
      <c r="G46" s="2" t="s">
        <v>667</v>
      </c>
      <c r="H46" s="222"/>
      <c r="I46" s="221">
        <v>2.0</v>
      </c>
      <c r="J46" s="221">
        <v>2.0</v>
      </c>
      <c r="K46" s="2" t="s">
        <v>92</v>
      </c>
      <c r="L46" s="2" t="s">
        <v>667</v>
      </c>
      <c r="M46" s="222"/>
      <c r="N46" s="221">
        <v>2.0</v>
      </c>
      <c r="O46" s="221">
        <v>2.0</v>
      </c>
      <c r="P46" s="2" t="s">
        <v>92</v>
      </c>
      <c r="Q46" s="2" t="s">
        <v>667</v>
      </c>
      <c r="R46" s="222"/>
      <c r="S46" s="221">
        <v>2.0</v>
      </c>
      <c r="T46" s="221">
        <v>2.0</v>
      </c>
      <c r="U46" s="2" t="s">
        <v>92</v>
      </c>
      <c r="V46" s="2" t="s">
        <v>667</v>
      </c>
      <c r="W46" s="222"/>
      <c r="X46" s="221">
        <v>2.0</v>
      </c>
      <c r="Y46" s="221">
        <v>2.0</v>
      </c>
      <c r="Z46" s="223">
        <v>0.0</v>
      </c>
      <c r="AA46" s="223">
        <v>0.0</v>
      </c>
      <c r="AB46" s="223">
        <v>0.0</v>
      </c>
      <c r="AC46" s="223">
        <v>0.0</v>
      </c>
      <c r="AD46" s="224">
        <v>0.0</v>
      </c>
      <c r="AE46" s="174">
        <f t="shared" si="1"/>
        <v>16</v>
      </c>
      <c r="AF46" s="225">
        <f t="shared" si="2"/>
        <v>-1.5</v>
      </c>
    </row>
    <row r="47">
      <c r="A47" s="39">
        <v>44.0</v>
      </c>
      <c r="B47" s="62" t="s">
        <v>90</v>
      </c>
      <c r="C47" s="59"/>
      <c r="D47" s="46" t="s">
        <v>328</v>
      </c>
      <c r="E47" s="46" t="s">
        <v>321</v>
      </c>
      <c r="F47" s="218" t="s">
        <v>92</v>
      </c>
      <c r="G47" s="2" t="s">
        <v>667</v>
      </c>
      <c r="H47" s="221" t="s">
        <v>668</v>
      </c>
      <c r="I47" s="221">
        <v>2.0</v>
      </c>
      <c r="J47" s="221">
        <v>2.0</v>
      </c>
      <c r="K47" s="2" t="s">
        <v>92</v>
      </c>
      <c r="L47" s="2" t="s">
        <v>667</v>
      </c>
      <c r="M47" s="222"/>
      <c r="N47" s="221">
        <v>2.0</v>
      </c>
      <c r="O47" s="221">
        <v>0.0</v>
      </c>
      <c r="P47" s="2" t="s">
        <v>92</v>
      </c>
      <c r="Q47" s="2" t="s">
        <v>667</v>
      </c>
      <c r="R47" s="222"/>
      <c r="S47" s="221">
        <v>2.0</v>
      </c>
      <c r="T47" s="221">
        <v>2.0</v>
      </c>
      <c r="U47" s="2" t="s">
        <v>92</v>
      </c>
      <c r="V47" s="2" t="s">
        <v>667</v>
      </c>
      <c r="W47" s="222"/>
      <c r="X47" s="221">
        <v>2.0</v>
      </c>
      <c r="Y47" s="221">
        <v>2.0</v>
      </c>
      <c r="Z47" s="223">
        <v>0.0</v>
      </c>
      <c r="AA47" s="223">
        <v>0.0</v>
      </c>
      <c r="AB47" s="223">
        <v>0.0</v>
      </c>
      <c r="AC47" s="223">
        <v>0.0</v>
      </c>
      <c r="AD47" s="224">
        <v>0.0</v>
      </c>
      <c r="AE47" s="174">
        <f t="shared" si="1"/>
        <v>14</v>
      </c>
      <c r="AF47" s="225">
        <f t="shared" si="2"/>
        <v>0.5</v>
      </c>
    </row>
    <row r="48">
      <c r="A48" s="216">
        <v>45.0</v>
      </c>
      <c r="B48" s="62" t="s">
        <v>90</v>
      </c>
      <c r="C48" s="59"/>
      <c r="D48" s="46" t="s">
        <v>337</v>
      </c>
      <c r="E48" s="46" t="s">
        <v>488</v>
      </c>
      <c r="F48" s="218" t="s">
        <v>92</v>
      </c>
      <c r="G48" s="2" t="s">
        <v>667</v>
      </c>
      <c r="H48" s="222"/>
      <c r="I48" s="221">
        <v>2.0</v>
      </c>
      <c r="J48" s="221">
        <v>2.0</v>
      </c>
      <c r="K48" s="2" t="s">
        <v>92</v>
      </c>
      <c r="L48" s="2" t="s">
        <v>667</v>
      </c>
      <c r="M48" s="222"/>
      <c r="N48" s="221">
        <v>2.0</v>
      </c>
      <c r="O48" s="221">
        <v>2.0</v>
      </c>
      <c r="P48" s="167" t="s">
        <v>672</v>
      </c>
      <c r="Q48" s="167" t="s">
        <v>673</v>
      </c>
      <c r="R48" s="222"/>
      <c r="S48" s="221">
        <v>2.0</v>
      </c>
      <c r="T48" s="221">
        <v>0.0</v>
      </c>
      <c r="U48" s="2" t="s">
        <v>92</v>
      </c>
      <c r="V48" s="2" t="s">
        <v>667</v>
      </c>
      <c r="W48" s="222"/>
      <c r="X48" s="221">
        <v>2.0</v>
      </c>
      <c r="Y48" s="221">
        <v>2.0</v>
      </c>
      <c r="Z48" s="223">
        <v>0.0</v>
      </c>
      <c r="AA48" s="223">
        <v>0.0</v>
      </c>
      <c r="AB48" s="223">
        <v>0.0</v>
      </c>
      <c r="AC48" s="223">
        <v>0.0</v>
      </c>
      <c r="AD48" s="224">
        <v>1.0</v>
      </c>
      <c r="AE48" s="174">
        <f t="shared" si="1"/>
        <v>14</v>
      </c>
      <c r="AF48" s="225">
        <f t="shared" si="2"/>
        <v>0.5</v>
      </c>
    </row>
    <row r="49">
      <c r="A49" s="39">
        <v>46.0</v>
      </c>
      <c r="B49" s="62" t="s">
        <v>90</v>
      </c>
      <c r="C49" s="55" t="s">
        <v>99</v>
      </c>
      <c r="D49" s="46" t="s">
        <v>343</v>
      </c>
      <c r="E49" s="46" t="s">
        <v>166</v>
      </c>
      <c r="F49" s="219" t="s">
        <v>672</v>
      </c>
      <c r="G49" s="167" t="s">
        <v>673</v>
      </c>
      <c r="H49" s="222"/>
      <c r="I49" s="221">
        <v>0.0</v>
      </c>
      <c r="J49" s="221">
        <v>0.0</v>
      </c>
      <c r="K49" s="2" t="s">
        <v>92</v>
      </c>
      <c r="L49" s="2" t="s">
        <v>667</v>
      </c>
      <c r="M49" s="222"/>
      <c r="N49" s="221">
        <v>2.0</v>
      </c>
      <c r="O49" s="221">
        <v>2.0</v>
      </c>
      <c r="P49" s="2" t="s">
        <v>92</v>
      </c>
      <c r="Q49" s="2" t="s">
        <v>667</v>
      </c>
      <c r="R49" s="222"/>
      <c r="S49" s="221">
        <v>2.0</v>
      </c>
      <c r="T49" s="221">
        <v>2.0</v>
      </c>
      <c r="U49" s="2" t="s">
        <v>92</v>
      </c>
      <c r="V49" s="2" t="s">
        <v>667</v>
      </c>
      <c r="W49" s="222"/>
      <c r="X49" s="221">
        <v>2.0</v>
      </c>
      <c r="Y49" s="221">
        <v>2.0</v>
      </c>
      <c r="Z49" s="223">
        <v>2.0</v>
      </c>
      <c r="AA49" s="223">
        <v>0.0</v>
      </c>
      <c r="AB49" s="223">
        <v>0.0</v>
      </c>
      <c r="AC49" s="223">
        <v>0.0</v>
      </c>
      <c r="AD49" s="224">
        <v>1.0</v>
      </c>
      <c r="AE49" s="174">
        <f t="shared" si="1"/>
        <v>14</v>
      </c>
      <c r="AF49" s="225">
        <f t="shared" si="2"/>
        <v>0.5</v>
      </c>
    </row>
    <row r="50">
      <c r="A50" s="216">
        <v>47.0</v>
      </c>
      <c r="B50" s="62" t="s">
        <v>90</v>
      </c>
      <c r="C50" s="59"/>
      <c r="D50" s="46" t="s">
        <v>352</v>
      </c>
      <c r="E50" s="46" t="s">
        <v>353</v>
      </c>
      <c r="F50" s="218" t="s">
        <v>92</v>
      </c>
      <c r="G50" s="2" t="s">
        <v>667</v>
      </c>
      <c r="H50" s="222"/>
      <c r="I50" s="221">
        <v>0.0</v>
      </c>
      <c r="J50" s="221">
        <v>2.0</v>
      </c>
      <c r="K50" s="2" t="s">
        <v>92</v>
      </c>
      <c r="L50" s="2" t="s">
        <v>667</v>
      </c>
      <c r="M50" s="222"/>
      <c r="N50" s="221">
        <v>2.0</v>
      </c>
      <c r="O50" s="221">
        <v>2.0</v>
      </c>
      <c r="P50" s="2" t="s">
        <v>92</v>
      </c>
      <c r="Q50" s="2" t="s">
        <v>667</v>
      </c>
      <c r="R50" s="222"/>
      <c r="S50" s="221">
        <v>2.0</v>
      </c>
      <c r="T50" s="221">
        <v>0.0</v>
      </c>
      <c r="U50" s="2" t="s">
        <v>92</v>
      </c>
      <c r="V50" s="2" t="s">
        <v>667</v>
      </c>
      <c r="W50" s="222"/>
      <c r="X50" s="221">
        <v>2.0</v>
      </c>
      <c r="Y50" s="221">
        <v>2.0</v>
      </c>
      <c r="Z50" s="223">
        <v>0.0</v>
      </c>
      <c r="AA50" s="223">
        <v>0.0</v>
      </c>
      <c r="AB50" s="223">
        <v>0.0</v>
      </c>
      <c r="AC50" s="223">
        <v>0.0</v>
      </c>
      <c r="AD50" s="224">
        <v>0.0</v>
      </c>
      <c r="AE50" s="174">
        <f t="shared" si="1"/>
        <v>12</v>
      </c>
      <c r="AF50" s="225">
        <f t="shared" si="2"/>
        <v>2.5</v>
      </c>
    </row>
    <row r="51">
      <c r="A51" s="39">
        <v>48.0</v>
      </c>
      <c r="B51" s="62" t="s">
        <v>90</v>
      </c>
      <c r="C51" s="59"/>
      <c r="D51" s="36" t="s">
        <v>363</v>
      </c>
      <c r="E51" s="36" t="s">
        <v>364</v>
      </c>
      <c r="F51" s="218" t="s">
        <v>92</v>
      </c>
      <c r="G51" s="2" t="s">
        <v>667</v>
      </c>
      <c r="H51" s="222"/>
      <c r="I51" s="221">
        <v>2.0</v>
      </c>
      <c r="J51" s="221">
        <v>2.0</v>
      </c>
      <c r="K51" s="2" t="s">
        <v>92</v>
      </c>
      <c r="L51" s="2" t="s">
        <v>667</v>
      </c>
      <c r="M51" s="222"/>
      <c r="N51" s="221">
        <v>2.0</v>
      </c>
      <c r="O51" s="221">
        <v>0.0</v>
      </c>
      <c r="P51" s="2" t="s">
        <v>92</v>
      </c>
      <c r="Q51" s="2" t="s">
        <v>667</v>
      </c>
      <c r="R51" s="222"/>
      <c r="S51" s="221">
        <v>2.0</v>
      </c>
      <c r="T51" s="221">
        <v>2.0</v>
      </c>
      <c r="U51" s="2" t="s">
        <v>92</v>
      </c>
      <c r="V51" s="2" t="s">
        <v>667</v>
      </c>
      <c r="W51" s="222"/>
      <c r="X51" s="221">
        <v>2.0</v>
      </c>
      <c r="Y51" s="221">
        <v>2.0</v>
      </c>
      <c r="Z51" s="223">
        <v>2.0</v>
      </c>
      <c r="AA51" s="223">
        <v>0.0</v>
      </c>
      <c r="AB51" s="223">
        <v>0.0</v>
      </c>
      <c r="AC51" s="223">
        <v>0.0</v>
      </c>
      <c r="AD51" s="224">
        <v>0.0</v>
      </c>
      <c r="AE51" s="174">
        <f t="shared" si="1"/>
        <v>16</v>
      </c>
      <c r="AF51" s="225">
        <f t="shared" si="2"/>
        <v>-1.5</v>
      </c>
    </row>
    <row r="52">
      <c r="A52" s="216">
        <v>49.0</v>
      </c>
      <c r="B52" s="62" t="s">
        <v>90</v>
      </c>
      <c r="C52" s="59"/>
      <c r="D52" s="46" t="s">
        <v>372</v>
      </c>
      <c r="E52" s="46" t="s">
        <v>373</v>
      </c>
      <c r="F52" s="218" t="s">
        <v>92</v>
      </c>
      <c r="G52" s="2" t="s">
        <v>667</v>
      </c>
      <c r="H52" s="222"/>
      <c r="I52" s="221">
        <v>2.0</v>
      </c>
      <c r="J52" s="221">
        <v>2.0</v>
      </c>
      <c r="K52" s="2" t="s">
        <v>92</v>
      </c>
      <c r="L52" s="2" t="s">
        <v>667</v>
      </c>
      <c r="M52" s="222"/>
      <c r="N52" s="221">
        <v>2.0</v>
      </c>
      <c r="O52" s="221">
        <v>2.0</v>
      </c>
      <c r="P52" s="2" t="s">
        <v>92</v>
      </c>
      <c r="Q52" s="2" t="s">
        <v>667</v>
      </c>
      <c r="R52" s="222"/>
      <c r="S52" s="221">
        <v>2.0</v>
      </c>
      <c r="T52" s="221">
        <v>2.0</v>
      </c>
      <c r="U52" s="2" t="s">
        <v>92</v>
      </c>
      <c r="V52" s="2" t="s">
        <v>667</v>
      </c>
      <c r="W52" s="222"/>
      <c r="X52" s="221">
        <v>1.5</v>
      </c>
      <c r="Y52" s="221">
        <v>2.0</v>
      </c>
      <c r="Z52" s="223">
        <v>0.0</v>
      </c>
      <c r="AA52" s="223">
        <v>0.0</v>
      </c>
      <c r="AB52" s="223">
        <v>0.0</v>
      </c>
      <c r="AC52" s="223">
        <v>0.0</v>
      </c>
      <c r="AD52" s="224">
        <v>0.0</v>
      </c>
      <c r="AE52" s="174">
        <f t="shared" si="1"/>
        <v>15.5</v>
      </c>
      <c r="AF52" s="225">
        <f t="shared" si="2"/>
        <v>-1</v>
      </c>
    </row>
    <row r="53">
      <c r="A53" s="39">
        <v>50.0</v>
      </c>
      <c r="B53" s="62" t="s">
        <v>90</v>
      </c>
      <c r="C53" s="59"/>
      <c r="D53" s="46" t="s">
        <v>378</v>
      </c>
      <c r="E53" s="46" t="s">
        <v>380</v>
      </c>
      <c r="F53" s="218" t="s">
        <v>92</v>
      </c>
      <c r="G53" s="2" t="s">
        <v>667</v>
      </c>
      <c r="H53" s="222"/>
      <c r="I53" s="221">
        <v>2.0</v>
      </c>
      <c r="J53" s="221">
        <v>2.0</v>
      </c>
      <c r="K53" s="2" t="s">
        <v>92</v>
      </c>
      <c r="L53" s="2" t="s">
        <v>667</v>
      </c>
      <c r="M53" s="222"/>
      <c r="N53" s="221">
        <v>2.0</v>
      </c>
      <c r="O53" s="221">
        <v>2.0</v>
      </c>
      <c r="P53" s="2" t="s">
        <v>92</v>
      </c>
      <c r="Q53" s="2" t="s">
        <v>667</v>
      </c>
      <c r="R53" s="222"/>
      <c r="S53" s="221">
        <v>2.0</v>
      </c>
      <c r="T53" s="221">
        <v>2.0</v>
      </c>
      <c r="U53" s="2" t="s">
        <v>92</v>
      </c>
      <c r="V53" s="2" t="s">
        <v>667</v>
      </c>
      <c r="W53" s="222"/>
      <c r="X53" s="221">
        <v>2.0</v>
      </c>
      <c r="Y53" s="221">
        <v>2.0</v>
      </c>
      <c r="Z53" s="223">
        <v>0.0</v>
      </c>
      <c r="AA53" s="223">
        <v>0.0</v>
      </c>
      <c r="AB53" s="223">
        <v>0.0</v>
      </c>
      <c r="AC53" s="223">
        <v>0.0</v>
      </c>
      <c r="AD53" s="224">
        <v>0.0</v>
      </c>
      <c r="AE53" s="174">
        <f t="shared" si="1"/>
        <v>16</v>
      </c>
      <c r="AF53" s="225">
        <f t="shared" si="2"/>
        <v>-1.5</v>
      </c>
    </row>
    <row r="54">
      <c r="A54" s="216">
        <v>51.0</v>
      </c>
      <c r="B54" s="62" t="s">
        <v>90</v>
      </c>
      <c r="C54" s="59"/>
      <c r="D54" s="46" t="s">
        <v>382</v>
      </c>
      <c r="E54" s="46" t="s">
        <v>527</v>
      </c>
      <c r="F54" s="219" t="s">
        <v>672</v>
      </c>
      <c r="G54" s="167" t="s">
        <v>673</v>
      </c>
      <c r="H54" s="222"/>
      <c r="I54" s="221">
        <v>0.0</v>
      </c>
      <c r="J54" s="221">
        <v>0.0</v>
      </c>
      <c r="K54" s="2" t="s">
        <v>92</v>
      </c>
      <c r="L54" s="2" t="s">
        <v>667</v>
      </c>
      <c r="M54" s="222"/>
      <c r="N54" s="221">
        <v>2.0</v>
      </c>
      <c r="O54" s="221">
        <v>2.0</v>
      </c>
      <c r="P54" s="2" t="s">
        <v>92</v>
      </c>
      <c r="Q54" s="2" t="s">
        <v>667</v>
      </c>
      <c r="R54" s="222"/>
      <c r="S54" s="221">
        <v>2.0</v>
      </c>
      <c r="T54" s="221">
        <v>2.0</v>
      </c>
      <c r="U54" s="2" t="s">
        <v>92</v>
      </c>
      <c r="V54" s="2" t="s">
        <v>667</v>
      </c>
      <c r="W54" s="222"/>
      <c r="X54" s="221">
        <v>2.0</v>
      </c>
      <c r="Y54" s="221">
        <v>2.0</v>
      </c>
      <c r="Z54" s="223">
        <v>0.0</v>
      </c>
      <c r="AA54" s="223">
        <v>0.0</v>
      </c>
      <c r="AB54" s="223">
        <v>0.0</v>
      </c>
      <c r="AC54" s="223">
        <v>0.0</v>
      </c>
      <c r="AD54" s="224">
        <v>1.0</v>
      </c>
      <c r="AE54" s="174">
        <f t="shared" si="1"/>
        <v>12</v>
      </c>
      <c r="AF54" s="225">
        <f t="shared" si="2"/>
        <v>2.5</v>
      </c>
    </row>
    <row r="55">
      <c r="A55" s="39">
        <v>52.0</v>
      </c>
      <c r="B55" s="62" t="s">
        <v>90</v>
      </c>
      <c r="C55" s="59"/>
      <c r="D55" s="29" t="s">
        <v>386</v>
      </c>
      <c r="E55" s="29" t="s">
        <v>387</v>
      </c>
      <c r="F55" s="218" t="s">
        <v>92</v>
      </c>
      <c r="G55" s="2" t="s">
        <v>667</v>
      </c>
      <c r="H55" s="222"/>
      <c r="I55" s="221">
        <v>0.0</v>
      </c>
      <c r="J55" s="221">
        <v>2.0</v>
      </c>
      <c r="K55" s="2" t="s">
        <v>92</v>
      </c>
      <c r="L55" s="2" t="s">
        <v>667</v>
      </c>
      <c r="M55" s="222"/>
      <c r="N55" s="221">
        <v>2.0</v>
      </c>
      <c r="O55" s="221">
        <v>2.0</v>
      </c>
      <c r="P55" s="2" t="s">
        <v>92</v>
      </c>
      <c r="Q55" s="2" t="s">
        <v>667</v>
      </c>
      <c r="R55" s="222"/>
      <c r="S55" s="221">
        <v>2.0</v>
      </c>
      <c r="T55" s="221">
        <v>2.0</v>
      </c>
      <c r="U55" s="2" t="s">
        <v>92</v>
      </c>
      <c r="V55" s="2" t="s">
        <v>667</v>
      </c>
      <c r="W55" s="222"/>
      <c r="X55" s="221">
        <v>2.0</v>
      </c>
      <c r="Y55" s="221">
        <v>2.0</v>
      </c>
      <c r="Z55" s="223">
        <v>2.0</v>
      </c>
      <c r="AA55" s="223">
        <v>0.0</v>
      </c>
      <c r="AB55" s="223">
        <v>0.0</v>
      </c>
      <c r="AC55" s="223">
        <v>0.0</v>
      </c>
      <c r="AD55" s="224">
        <v>0.0</v>
      </c>
      <c r="AE55" s="174">
        <f t="shared" si="1"/>
        <v>16</v>
      </c>
      <c r="AF55" s="225">
        <f t="shared" si="2"/>
        <v>-1.5</v>
      </c>
    </row>
    <row r="56">
      <c r="A56" s="216">
        <v>53.0</v>
      </c>
      <c r="B56" s="121" t="s">
        <v>90</v>
      </c>
      <c r="C56" s="57"/>
      <c r="D56" s="46" t="s">
        <v>390</v>
      </c>
      <c r="E56" s="46" t="s">
        <v>391</v>
      </c>
      <c r="F56" s="218" t="s">
        <v>92</v>
      </c>
      <c r="G56" s="2" t="s">
        <v>667</v>
      </c>
      <c r="H56" s="222"/>
      <c r="I56" s="221">
        <v>2.0</v>
      </c>
      <c r="J56" s="221">
        <v>2.0</v>
      </c>
      <c r="K56" s="2" t="s">
        <v>92</v>
      </c>
      <c r="L56" s="2" t="s">
        <v>667</v>
      </c>
      <c r="M56" s="222"/>
      <c r="N56" s="221">
        <v>2.0</v>
      </c>
      <c r="O56" s="221">
        <v>2.0</v>
      </c>
      <c r="P56" s="2" t="s">
        <v>92</v>
      </c>
      <c r="Q56" s="2" t="s">
        <v>667</v>
      </c>
      <c r="R56" s="222"/>
      <c r="S56" s="221">
        <v>2.0</v>
      </c>
      <c r="T56" s="221">
        <v>2.0</v>
      </c>
      <c r="U56" s="167" t="s">
        <v>92</v>
      </c>
      <c r="V56" s="167" t="s">
        <v>667</v>
      </c>
      <c r="W56" s="222"/>
      <c r="X56" s="221">
        <v>2.0</v>
      </c>
      <c r="Y56" s="221">
        <v>2.0</v>
      </c>
      <c r="Z56" s="223">
        <v>2.0</v>
      </c>
      <c r="AA56" s="223">
        <v>0.0</v>
      </c>
      <c r="AB56" s="223">
        <v>0.0</v>
      </c>
      <c r="AC56" s="223">
        <v>0.0</v>
      </c>
      <c r="AD56" s="224">
        <v>0.0</v>
      </c>
      <c r="AE56" s="174">
        <f t="shared" si="1"/>
        <v>18</v>
      </c>
      <c r="AF56" s="225">
        <f t="shared" si="2"/>
        <v>-3.5</v>
      </c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16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</sheetData>
  <mergeCells count="7">
    <mergeCell ref="F1:Z1"/>
    <mergeCell ref="I2:J2"/>
    <mergeCell ref="N2:O2"/>
    <mergeCell ref="S2:T2"/>
    <mergeCell ref="X2:Y2"/>
    <mergeCell ref="Z2:AA2"/>
    <mergeCell ref="AB2:AC2"/>
  </mergeCells>
  <dataValidations>
    <dataValidation type="list" allowBlank="1" showErrorMessage="1" sqref="G4:G56 L4:L56 Q4:Q56 V4:V56">
      <formula1>"Online/permission granted,In class,Group Assignment,Absent,Online/Sick,Online/ NO permission ,Public Holiday,In class/Lesson not attended in full,Reported absent"</formula1>
    </dataValidation>
    <dataValidation type="list" allowBlank="1" showErrorMessage="1" sqref="F4:F56 K4:K56 P4:P56 U4:U56">
      <formula1>"Yes,No "</formula1>
    </dataValidation>
    <dataValidation type="list" allowBlank="1" showErrorMessage="1" sqref="AD4:AD56">
      <formula1>"0,1,2,3,4"</formula1>
    </dataValidation>
    <dataValidation type="list" allowBlank="1" showErrorMessage="1" sqref="I4:J56 N4:O56 S4:T56 X4:AC56">
      <formula1>"0,2,1.5,1,0.5"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5.63"/>
    <col customWidth="1" min="2" max="2" width="9.25"/>
    <col customWidth="1" min="3" max="3" width="8.63"/>
    <col customWidth="1" min="5" max="5" width="16.5"/>
    <col customWidth="1" min="7" max="7" width="12.75"/>
    <col customWidth="1" min="8" max="8" width="22.38"/>
    <col customWidth="1" min="13" max="13" width="24.88"/>
    <col customWidth="1" min="18" max="18" width="28.25"/>
    <col customWidth="1" min="23" max="23" width="24.75"/>
  </cols>
  <sheetData>
    <row r="1" ht="21.75" customHeight="1">
      <c r="A1" s="2"/>
      <c r="B1" s="2"/>
      <c r="C1" s="2"/>
      <c r="D1" s="2"/>
      <c r="E1" s="2"/>
      <c r="F1" s="187" t="s">
        <v>640</v>
      </c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188" t="s">
        <v>641</v>
      </c>
      <c r="G2" s="188" t="s">
        <v>718</v>
      </c>
      <c r="H2" s="189"/>
      <c r="I2" s="190" t="s">
        <v>643</v>
      </c>
      <c r="J2" s="191"/>
      <c r="K2" s="192" t="s">
        <v>641</v>
      </c>
      <c r="L2" s="192" t="s">
        <v>719</v>
      </c>
      <c r="M2" s="193"/>
      <c r="N2" s="194" t="s">
        <v>643</v>
      </c>
      <c r="O2" s="191"/>
      <c r="P2" s="195" t="s">
        <v>641</v>
      </c>
      <c r="Q2" s="195" t="s">
        <v>720</v>
      </c>
      <c r="R2" s="196"/>
      <c r="S2" s="197" t="s">
        <v>643</v>
      </c>
      <c r="T2" s="191"/>
      <c r="U2" s="198" t="s">
        <v>641</v>
      </c>
      <c r="V2" s="198" t="s">
        <v>721</v>
      </c>
      <c r="W2" s="199"/>
      <c r="X2" s="200" t="s">
        <v>643</v>
      </c>
      <c r="Y2" s="191"/>
      <c r="Z2" s="201" t="s">
        <v>647</v>
      </c>
      <c r="AA2" s="185"/>
      <c r="AB2" s="201" t="s">
        <v>648</v>
      </c>
      <c r="AC2" s="185"/>
      <c r="AD2" s="31"/>
      <c r="AE2" s="31"/>
      <c r="AF2" s="31"/>
    </row>
    <row r="3">
      <c r="A3" s="202" t="s">
        <v>649</v>
      </c>
      <c r="B3" s="203" t="s">
        <v>650</v>
      </c>
      <c r="C3" s="202" t="s">
        <v>651</v>
      </c>
      <c r="D3" s="202" t="s">
        <v>652</v>
      </c>
      <c r="E3" s="202" t="s">
        <v>7</v>
      </c>
      <c r="F3" s="204" t="s">
        <v>653</v>
      </c>
      <c r="G3" s="205" t="s">
        <v>654</v>
      </c>
      <c r="H3" s="205" t="s">
        <v>655</v>
      </c>
      <c r="I3" s="206" t="s">
        <v>656</v>
      </c>
      <c r="J3" s="206" t="s">
        <v>657</v>
      </c>
      <c r="K3" s="207" t="s">
        <v>658</v>
      </c>
      <c r="L3" s="208" t="s">
        <v>654</v>
      </c>
      <c r="M3" s="208" t="s">
        <v>655</v>
      </c>
      <c r="N3" s="208" t="s">
        <v>656</v>
      </c>
      <c r="O3" s="207" t="s">
        <v>657</v>
      </c>
      <c r="P3" s="209" t="s">
        <v>659</v>
      </c>
      <c r="Q3" s="209" t="s">
        <v>654</v>
      </c>
      <c r="R3" s="210" t="s">
        <v>655</v>
      </c>
      <c r="S3" s="210" t="s">
        <v>656</v>
      </c>
      <c r="T3" s="210" t="s">
        <v>657</v>
      </c>
      <c r="U3" s="211" t="s">
        <v>660</v>
      </c>
      <c r="V3" s="211" t="s">
        <v>654</v>
      </c>
      <c r="W3" s="212" t="s">
        <v>655</v>
      </c>
      <c r="X3" s="211" t="s">
        <v>656</v>
      </c>
      <c r="Y3" s="212" t="s">
        <v>657</v>
      </c>
      <c r="Z3" s="213" t="s">
        <v>661</v>
      </c>
      <c r="AA3" s="213" t="s">
        <v>662</v>
      </c>
      <c r="AB3" s="213" t="s">
        <v>663</v>
      </c>
      <c r="AC3" s="213" t="s">
        <v>662</v>
      </c>
      <c r="AD3" s="214" t="s">
        <v>664</v>
      </c>
      <c r="AE3" s="215" t="s">
        <v>665</v>
      </c>
      <c r="AF3" s="215" t="s">
        <v>666</v>
      </c>
    </row>
    <row r="4">
      <c r="A4" s="216">
        <v>1.0</v>
      </c>
      <c r="B4" s="217" t="s">
        <v>62</v>
      </c>
      <c r="C4" s="28"/>
      <c r="D4" s="17" t="s">
        <v>20</v>
      </c>
      <c r="E4" s="17" t="s">
        <v>37</v>
      </c>
      <c r="F4" s="218" t="s">
        <v>92</v>
      </c>
      <c r="G4" s="219" t="s">
        <v>667</v>
      </c>
      <c r="H4" s="222"/>
      <c r="I4" s="221">
        <v>2.0</v>
      </c>
      <c r="J4" s="221">
        <v>2.0</v>
      </c>
      <c r="K4" s="218" t="s">
        <v>92</v>
      </c>
      <c r="L4" s="219" t="s">
        <v>667</v>
      </c>
      <c r="M4" s="222"/>
      <c r="N4" s="221">
        <v>2.0</v>
      </c>
      <c r="O4" s="221">
        <v>2.0</v>
      </c>
      <c r="P4" s="218" t="s">
        <v>92</v>
      </c>
      <c r="Q4" s="219" t="s">
        <v>667</v>
      </c>
      <c r="R4" s="222"/>
      <c r="S4" s="221">
        <v>2.0</v>
      </c>
      <c r="T4" s="221">
        <v>2.0</v>
      </c>
      <c r="U4" s="218" t="s">
        <v>92</v>
      </c>
      <c r="V4" s="219" t="s">
        <v>667</v>
      </c>
      <c r="W4" s="222"/>
      <c r="X4" s="221">
        <v>2.0</v>
      </c>
      <c r="Y4" s="221">
        <v>2.0</v>
      </c>
      <c r="Z4" s="223">
        <v>0.0</v>
      </c>
      <c r="AA4" s="223">
        <v>0.0</v>
      </c>
      <c r="AB4" s="223">
        <v>0.0</v>
      </c>
      <c r="AC4" s="223">
        <v>0.0</v>
      </c>
      <c r="AD4" s="224">
        <v>0.0</v>
      </c>
      <c r="AE4" s="174">
        <f t="shared" ref="AE4:AE56" si="1">I4+J4+N4+O4+S4+T4+X4+Y4+Z4+AA4+AB4+AC4</f>
        <v>16</v>
      </c>
      <c r="AF4" s="225">
        <f t="shared" ref="AF4:AF56" si="2">14.5-AE4</f>
        <v>-1.5</v>
      </c>
    </row>
    <row r="5">
      <c r="A5" s="39">
        <v>2.0</v>
      </c>
      <c r="B5" s="41" t="s">
        <v>90</v>
      </c>
      <c r="C5" s="226"/>
      <c r="D5" s="29" t="s">
        <v>29</v>
      </c>
      <c r="E5" s="29" t="s">
        <v>68</v>
      </c>
      <c r="F5" s="218" t="s">
        <v>92</v>
      </c>
      <c r="G5" s="219" t="s">
        <v>667</v>
      </c>
      <c r="H5" s="222"/>
      <c r="I5" s="221">
        <v>2.0</v>
      </c>
      <c r="J5" s="221">
        <v>2.0</v>
      </c>
      <c r="K5" s="51" t="s">
        <v>92</v>
      </c>
      <c r="L5" s="51" t="s">
        <v>667</v>
      </c>
      <c r="M5" s="222"/>
      <c r="N5" s="221">
        <v>2.0</v>
      </c>
      <c r="O5" s="221">
        <v>2.0</v>
      </c>
      <c r="P5" s="51" t="s">
        <v>92</v>
      </c>
      <c r="Q5" s="51" t="s">
        <v>667</v>
      </c>
      <c r="R5" s="222"/>
      <c r="S5" s="221">
        <v>2.0</v>
      </c>
      <c r="T5" s="221">
        <v>0.0</v>
      </c>
      <c r="U5" s="51" t="s">
        <v>92</v>
      </c>
      <c r="V5" s="51" t="s">
        <v>667</v>
      </c>
      <c r="W5" s="222"/>
      <c r="X5" s="221">
        <v>2.0</v>
      </c>
      <c r="Y5" s="221">
        <v>2.0</v>
      </c>
      <c r="Z5" s="223">
        <v>0.0</v>
      </c>
      <c r="AA5" s="223">
        <v>0.0</v>
      </c>
      <c r="AB5" s="223">
        <v>0.0</v>
      </c>
      <c r="AC5" s="223">
        <v>0.0</v>
      </c>
      <c r="AD5" s="224">
        <v>0.0</v>
      </c>
      <c r="AE5" s="174">
        <f t="shared" si="1"/>
        <v>14</v>
      </c>
      <c r="AF5" s="225">
        <f t="shared" si="2"/>
        <v>0.5</v>
      </c>
    </row>
    <row r="6">
      <c r="A6" s="216">
        <v>3.0</v>
      </c>
      <c r="B6" s="41" t="s">
        <v>90</v>
      </c>
      <c r="C6" s="55" t="s">
        <v>99</v>
      </c>
      <c r="D6" s="43" t="s">
        <v>95</v>
      </c>
      <c r="E6" s="43" t="s">
        <v>35</v>
      </c>
      <c r="F6" s="2" t="s">
        <v>92</v>
      </c>
      <c r="G6" s="2" t="s">
        <v>667</v>
      </c>
      <c r="H6" s="222"/>
      <c r="I6" s="221">
        <v>2.0</v>
      </c>
      <c r="J6" s="221">
        <v>2.0</v>
      </c>
      <c r="K6" s="2" t="s">
        <v>92</v>
      </c>
      <c r="L6" s="2" t="s">
        <v>667</v>
      </c>
      <c r="M6" s="222"/>
      <c r="N6" s="221">
        <v>2.0</v>
      </c>
      <c r="O6" s="221">
        <v>2.0</v>
      </c>
      <c r="P6" s="2" t="s">
        <v>92</v>
      </c>
      <c r="Q6" s="2" t="s">
        <v>667</v>
      </c>
      <c r="R6" s="222"/>
      <c r="S6" s="221">
        <v>2.0</v>
      </c>
      <c r="T6" s="221">
        <v>2.0</v>
      </c>
      <c r="U6" s="167" t="s">
        <v>672</v>
      </c>
      <c r="V6" s="167" t="s">
        <v>673</v>
      </c>
      <c r="W6" s="222"/>
      <c r="X6" s="221">
        <v>0.0</v>
      </c>
      <c r="Y6" s="221">
        <v>0.0</v>
      </c>
      <c r="Z6" s="223">
        <v>0.0</v>
      </c>
      <c r="AA6" s="223">
        <v>0.0</v>
      </c>
      <c r="AB6" s="223">
        <v>0.0</v>
      </c>
      <c r="AC6" s="223">
        <v>0.0</v>
      </c>
      <c r="AD6" s="224">
        <v>1.0</v>
      </c>
      <c r="AE6" s="174">
        <f t="shared" si="1"/>
        <v>12</v>
      </c>
      <c r="AF6" s="225">
        <f t="shared" si="2"/>
        <v>2.5</v>
      </c>
    </row>
    <row r="7">
      <c r="A7" s="39">
        <v>4.0</v>
      </c>
      <c r="B7" s="62" t="s">
        <v>90</v>
      </c>
      <c r="C7" s="59"/>
      <c r="D7" s="54" t="s">
        <v>41</v>
      </c>
      <c r="E7" s="54" t="s">
        <v>42</v>
      </c>
      <c r="F7" s="2" t="s">
        <v>92</v>
      </c>
      <c r="G7" s="2" t="s">
        <v>667</v>
      </c>
      <c r="H7" s="222"/>
      <c r="I7" s="221">
        <v>2.0</v>
      </c>
      <c r="J7" s="221">
        <v>2.0</v>
      </c>
      <c r="K7" s="2" t="s">
        <v>92</v>
      </c>
      <c r="L7" s="2" t="s">
        <v>667</v>
      </c>
      <c r="M7" s="222"/>
      <c r="N7" s="221">
        <v>2.0</v>
      </c>
      <c r="O7" s="221">
        <v>2.0</v>
      </c>
      <c r="P7" s="2" t="s">
        <v>92</v>
      </c>
      <c r="Q7" s="2" t="s">
        <v>667</v>
      </c>
      <c r="R7" s="222"/>
      <c r="S7" s="221">
        <v>2.0</v>
      </c>
      <c r="T7" s="221">
        <v>2.0</v>
      </c>
      <c r="U7" s="2" t="s">
        <v>92</v>
      </c>
      <c r="V7" s="2" t="s">
        <v>667</v>
      </c>
      <c r="W7" s="222"/>
      <c r="X7" s="221">
        <v>2.0</v>
      </c>
      <c r="Y7" s="221">
        <v>2.0</v>
      </c>
      <c r="Z7" s="223">
        <v>0.0</v>
      </c>
      <c r="AA7" s="223">
        <v>0.0</v>
      </c>
      <c r="AB7" s="223">
        <v>0.0</v>
      </c>
      <c r="AC7" s="223">
        <v>0.0</v>
      </c>
      <c r="AD7" s="224">
        <v>0.0</v>
      </c>
      <c r="AE7" s="174">
        <f t="shared" si="1"/>
        <v>16</v>
      </c>
      <c r="AF7" s="225">
        <f t="shared" si="2"/>
        <v>-1.5</v>
      </c>
    </row>
    <row r="8">
      <c r="A8" s="216">
        <v>5.0</v>
      </c>
      <c r="B8" s="62" t="s">
        <v>90</v>
      </c>
      <c r="C8" s="59"/>
      <c r="D8" s="54" t="s">
        <v>48</v>
      </c>
      <c r="E8" s="54" t="s">
        <v>51</v>
      </c>
      <c r="F8" s="2" t="s">
        <v>92</v>
      </c>
      <c r="G8" s="2" t="s">
        <v>667</v>
      </c>
      <c r="H8" s="222"/>
      <c r="I8" s="221">
        <v>2.0</v>
      </c>
      <c r="J8" s="221">
        <v>2.0</v>
      </c>
      <c r="K8" s="2" t="s">
        <v>92</v>
      </c>
      <c r="L8" s="2" t="s">
        <v>667</v>
      </c>
      <c r="M8" s="222"/>
      <c r="N8" s="221">
        <v>2.0</v>
      </c>
      <c r="O8" s="221">
        <v>2.0</v>
      </c>
      <c r="P8" s="167" t="s">
        <v>672</v>
      </c>
      <c r="Q8" s="167" t="s">
        <v>684</v>
      </c>
      <c r="R8" s="221" t="s">
        <v>722</v>
      </c>
      <c r="S8" s="221">
        <v>0.0</v>
      </c>
      <c r="T8" s="221">
        <v>0.0</v>
      </c>
      <c r="U8" s="2" t="s">
        <v>92</v>
      </c>
      <c r="V8" s="2" t="s">
        <v>667</v>
      </c>
      <c r="W8" s="222"/>
      <c r="X8" s="221">
        <v>2.0</v>
      </c>
      <c r="Y8" s="221">
        <v>2.0</v>
      </c>
      <c r="Z8" s="223">
        <v>0.0</v>
      </c>
      <c r="AA8" s="223">
        <v>0.0</v>
      </c>
      <c r="AB8" s="223">
        <v>0.0</v>
      </c>
      <c r="AC8" s="223">
        <v>0.0</v>
      </c>
      <c r="AD8" s="224">
        <v>1.0</v>
      </c>
      <c r="AE8" s="174">
        <f t="shared" si="1"/>
        <v>12</v>
      </c>
      <c r="AF8" s="225">
        <f t="shared" si="2"/>
        <v>2.5</v>
      </c>
    </row>
    <row r="9">
      <c r="A9" s="39">
        <v>6.0</v>
      </c>
      <c r="B9" s="62" t="s">
        <v>90</v>
      </c>
      <c r="C9" s="59"/>
      <c r="D9" s="43" t="s">
        <v>58</v>
      </c>
      <c r="E9" s="43" t="s">
        <v>148</v>
      </c>
      <c r="F9" s="2" t="s">
        <v>92</v>
      </c>
      <c r="G9" s="2" t="s">
        <v>667</v>
      </c>
      <c r="H9" s="222"/>
      <c r="I9" s="221">
        <v>2.0</v>
      </c>
      <c r="J9" s="221">
        <v>2.0</v>
      </c>
      <c r="K9" s="2" t="s">
        <v>92</v>
      </c>
      <c r="L9" s="2" t="s">
        <v>667</v>
      </c>
      <c r="M9" s="222"/>
      <c r="N9" s="221">
        <v>2.0</v>
      </c>
      <c r="O9" s="221">
        <v>2.0</v>
      </c>
      <c r="P9" s="2" t="s">
        <v>92</v>
      </c>
      <c r="Q9" s="2" t="s">
        <v>667</v>
      </c>
      <c r="R9" s="222"/>
      <c r="S9" s="221">
        <v>2.0</v>
      </c>
      <c r="T9" s="221">
        <v>2.0</v>
      </c>
      <c r="U9" s="2" t="s">
        <v>92</v>
      </c>
      <c r="V9" s="2" t="s">
        <v>667</v>
      </c>
      <c r="W9" s="222"/>
      <c r="X9" s="221">
        <v>2.0</v>
      </c>
      <c r="Y9" s="221">
        <v>2.0</v>
      </c>
      <c r="Z9" s="223">
        <v>0.0</v>
      </c>
      <c r="AA9" s="223">
        <v>0.0</v>
      </c>
      <c r="AB9" s="223">
        <v>0.0</v>
      </c>
      <c r="AC9" s="223">
        <v>0.0</v>
      </c>
      <c r="AD9" s="224">
        <v>0.0</v>
      </c>
      <c r="AE9" s="174">
        <f t="shared" si="1"/>
        <v>16</v>
      </c>
      <c r="AF9" s="225">
        <f t="shared" si="2"/>
        <v>-1.5</v>
      </c>
    </row>
    <row r="10">
      <c r="A10" s="216">
        <v>7.0</v>
      </c>
      <c r="B10" s="105" t="s">
        <v>90</v>
      </c>
      <c r="C10" s="68"/>
      <c r="D10" s="70" t="s">
        <v>63</v>
      </c>
      <c r="E10" s="74" t="s">
        <v>64</v>
      </c>
      <c r="F10" s="84" t="s">
        <v>92</v>
      </c>
      <c r="G10" s="2" t="s">
        <v>667</v>
      </c>
      <c r="H10" s="221" t="s">
        <v>723</v>
      </c>
      <c r="I10" s="221">
        <v>2.0</v>
      </c>
      <c r="J10" s="221">
        <v>2.0</v>
      </c>
      <c r="K10" s="2" t="s">
        <v>92</v>
      </c>
      <c r="L10" s="2" t="s">
        <v>667</v>
      </c>
      <c r="M10" s="222"/>
      <c r="N10" s="221">
        <v>0.0</v>
      </c>
      <c r="O10" s="221">
        <v>2.0</v>
      </c>
      <c r="P10" s="2" t="s">
        <v>92</v>
      </c>
      <c r="Q10" s="2" t="s">
        <v>667</v>
      </c>
      <c r="R10" s="222"/>
      <c r="S10" s="221">
        <v>2.0</v>
      </c>
      <c r="T10" s="221">
        <v>2.0</v>
      </c>
      <c r="U10" s="2" t="s">
        <v>92</v>
      </c>
      <c r="V10" s="2" t="s">
        <v>667</v>
      </c>
      <c r="W10" s="222"/>
      <c r="X10" s="221">
        <v>0.0</v>
      </c>
      <c r="Y10" s="221">
        <v>0.0</v>
      </c>
      <c r="Z10" s="223">
        <v>0.0</v>
      </c>
      <c r="AA10" s="223">
        <v>0.0</v>
      </c>
      <c r="AB10" s="223">
        <v>0.0</v>
      </c>
      <c r="AC10" s="223">
        <v>0.0</v>
      </c>
      <c r="AD10" s="224">
        <v>0.0</v>
      </c>
      <c r="AE10" s="174">
        <f t="shared" si="1"/>
        <v>10</v>
      </c>
      <c r="AF10" s="225">
        <f t="shared" si="2"/>
        <v>4.5</v>
      </c>
    </row>
    <row r="11">
      <c r="A11" s="39">
        <v>8.0</v>
      </c>
      <c r="B11" s="62" t="s">
        <v>90</v>
      </c>
      <c r="C11" s="59"/>
      <c r="D11" s="54" t="s">
        <v>66</v>
      </c>
      <c r="E11" s="54" t="s">
        <v>187</v>
      </c>
      <c r="F11" s="2" t="s">
        <v>92</v>
      </c>
      <c r="G11" s="2" t="s">
        <v>667</v>
      </c>
      <c r="H11" s="222"/>
      <c r="I11" s="221">
        <v>2.0</v>
      </c>
      <c r="J11" s="221">
        <v>2.0</v>
      </c>
      <c r="K11" s="2" t="s">
        <v>92</v>
      </c>
      <c r="L11" s="2" t="s">
        <v>667</v>
      </c>
      <c r="M11" s="222"/>
      <c r="N11" s="221">
        <v>2.0</v>
      </c>
      <c r="O11" s="221">
        <v>2.0</v>
      </c>
      <c r="P11" s="2" t="s">
        <v>92</v>
      </c>
      <c r="Q11" s="2" t="s">
        <v>667</v>
      </c>
      <c r="R11" s="222"/>
      <c r="S11" s="221">
        <v>2.0</v>
      </c>
      <c r="T11" s="221">
        <v>2.0</v>
      </c>
      <c r="U11" s="2" t="s">
        <v>92</v>
      </c>
      <c r="V11" s="2" t="s">
        <v>667</v>
      </c>
      <c r="W11" s="222"/>
      <c r="X11" s="221">
        <v>2.0</v>
      </c>
      <c r="Y11" s="221">
        <v>2.0</v>
      </c>
      <c r="Z11" s="223">
        <v>0.0</v>
      </c>
      <c r="AA11" s="223">
        <v>0.0</v>
      </c>
      <c r="AB11" s="223">
        <v>0.0</v>
      </c>
      <c r="AC11" s="223">
        <v>0.0</v>
      </c>
      <c r="AD11" s="224">
        <v>0.0</v>
      </c>
      <c r="AE11" s="174">
        <f t="shared" si="1"/>
        <v>16</v>
      </c>
      <c r="AF11" s="225">
        <f t="shared" si="2"/>
        <v>-1.5</v>
      </c>
    </row>
    <row r="12">
      <c r="A12" s="216">
        <v>9.0</v>
      </c>
      <c r="B12" s="62" t="s">
        <v>90</v>
      </c>
      <c r="C12" s="59"/>
      <c r="D12" s="46" t="s">
        <v>71</v>
      </c>
      <c r="E12" s="46" t="s">
        <v>195</v>
      </c>
      <c r="F12" s="2" t="s">
        <v>92</v>
      </c>
      <c r="G12" s="2" t="s">
        <v>667</v>
      </c>
      <c r="H12" s="222"/>
      <c r="I12" s="221">
        <v>2.0</v>
      </c>
      <c r="J12" s="221">
        <v>2.0</v>
      </c>
      <c r="K12" s="2" t="s">
        <v>92</v>
      </c>
      <c r="L12" s="2" t="s">
        <v>667</v>
      </c>
      <c r="M12" s="222"/>
      <c r="N12" s="221">
        <v>0.0</v>
      </c>
      <c r="O12" s="221">
        <v>2.0</v>
      </c>
      <c r="P12" s="2" t="s">
        <v>92</v>
      </c>
      <c r="Q12" s="2" t="s">
        <v>667</v>
      </c>
      <c r="R12" s="222"/>
      <c r="S12" s="221">
        <v>2.0</v>
      </c>
      <c r="T12" s="221">
        <v>2.0</v>
      </c>
      <c r="U12" s="2" t="s">
        <v>92</v>
      </c>
      <c r="V12" s="2" t="s">
        <v>667</v>
      </c>
      <c r="W12" s="222"/>
      <c r="X12" s="221">
        <v>2.0</v>
      </c>
      <c r="Y12" s="221">
        <v>2.0</v>
      </c>
      <c r="Z12" s="223">
        <v>0.0</v>
      </c>
      <c r="AA12" s="223">
        <v>0.0</v>
      </c>
      <c r="AB12" s="223">
        <v>0.0</v>
      </c>
      <c r="AC12" s="223">
        <v>0.0</v>
      </c>
      <c r="AD12" s="224">
        <v>0.0</v>
      </c>
      <c r="AE12" s="174">
        <f t="shared" si="1"/>
        <v>14</v>
      </c>
      <c r="AF12" s="225">
        <f t="shared" si="2"/>
        <v>0.5</v>
      </c>
    </row>
    <row r="13">
      <c r="A13" s="39">
        <v>10.0</v>
      </c>
      <c r="B13" s="62" t="s">
        <v>90</v>
      </c>
      <c r="C13" s="59"/>
      <c r="D13" s="54" t="s">
        <v>85</v>
      </c>
      <c r="E13" s="54" t="s">
        <v>86</v>
      </c>
      <c r="F13" s="2" t="s">
        <v>92</v>
      </c>
      <c r="G13" s="2" t="s">
        <v>667</v>
      </c>
      <c r="H13" s="221" t="s">
        <v>724</v>
      </c>
      <c r="I13" s="221">
        <v>0.0</v>
      </c>
      <c r="J13" s="221">
        <v>2.0</v>
      </c>
      <c r="K13" s="2" t="s">
        <v>92</v>
      </c>
      <c r="L13" s="2" t="s">
        <v>667</v>
      </c>
      <c r="M13" s="222"/>
      <c r="N13" s="221">
        <v>1.0</v>
      </c>
      <c r="O13" s="221">
        <v>2.0</v>
      </c>
      <c r="P13" s="167" t="s">
        <v>672</v>
      </c>
      <c r="Q13" s="167" t="s">
        <v>673</v>
      </c>
      <c r="R13" s="222"/>
      <c r="S13" s="221">
        <v>0.0</v>
      </c>
      <c r="T13" s="221">
        <v>0.0</v>
      </c>
      <c r="U13" s="2" t="s">
        <v>92</v>
      </c>
      <c r="V13" s="2" t="s">
        <v>667</v>
      </c>
      <c r="W13" s="222"/>
      <c r="X13" s="221">
        <v>2.0</v>
      </c>
      <c r="Y13" s="221">
        <v>1.5</v>
      </c>
      <c r="Z13" s="223">
        <v>0.0</v>
      </c>
      <c r="AA13" s="223">
        <v>0.0</v>
      </c>
      <c r="AB13" s="223">
        <v>0.0</v>
      </c>
      <c r="AC13" s="223">
        <v>0.0</v>
      </c>
      <c r="AD13" s="224">
        <v>1.0</v>
      </c>
      <c r="AE13" s="174">
        <f t="shared" si="1"/>
        <v>8.5</v>
      </c>
      <c r="AF13" s="225">
        <f t="shared" si="2"/>
        <v>6</v>
      </c>
    </row>
    <row r="14">
      <c r="A14" s="216">
        <v>11.0</v>
      </c>
      <c r="B14" s="62" t="s">
        <v>90</v>
      </c>
      <c r="C14" s="59"/>
      <c r="D14" s="54" t="s">
        <v>88</v>
      </c>
      <c r="E14" s="54" t="s">
        <v>246</v>
      </c>
      <c r="F14" s="2" t="s">
        <v>92</v>
      </c>
      <c r="G14" s="2" t="s">
        <v>667</v>
      </c>
      <c r="H14" s="222"/>
      <c r="I14" s="221">
        <v>1.0</v>
      </c>
      <c r="J14" s="221">
        <v>2.0</v>
      </c>
      <c r="K14" s="2" t="s">
        <v>92</v>
      </c>
      <c r="L14" s="2" t="s">
        <v>667</v>
      </c>
      <c r="M14" s="222"/>
      <c r="N14" s="221">
        <v>0.0</v>
      </c>
      <c r="O14" s="221">
        <v>0.0</v>
      </c>
      <c r="P14" s="167" t="s">
        <v>672</v>
      </c>
      <c r="Q14" s="167" t="s">
        <v>684</v>
      </c>
      <c r="R14" s="222"/>
      <c r="S14" s="221">
        <v>0.0</v>
      </c>
      <c r="T14" s="221">
        <v>0.0</v>
      </c>
      <c r="U14" s="2" t="s">
        <v>92</v>
      </c>
      <c r="V14" s="2" t="s">
        <v>667</v>
      </c>
      <c r="W14" s="222"/>
      <c r="X14" s="221">
        <v>2.0</v>
      </c>
      <c r="Y14" s="221">
        <v>2.0</v>
      </c>
      <c r="Z14" s="223">
        <v>0.0</v>
      </c>
      <c r="AA14" s="223">
        <v>0.0</v>
      </c>
      <c r="AB14" s="223">
        <v>0.0</v>
      </c>
      <c r="AC14" s="223">
        <v>0.0</v>
      </c>
      <c r="AD14" s="224">
        <v>1.0</v>
      </c>
      <c r="AE14" s="174">
        <f t="shared" si="1"/>
        <v>7</v>
      </c>
      <c r="AF14" s="225">
        <f t="shared" si="2"/>
        <v>7.5</v>
      </c>
    </row>
    <row r="15">
      <c r="A15" s="39">
        <v>12.0</v>
      </c>
      <c r="B15" s="62" t="s">
        <v>90</v>
      </c>
      <c r="C15" s="59"/>
      <c r="D15" s="43" t="s">
        <v>94</v>
      </c>
      <c r="E15" s="43" t="s">
        <v>258</v>
      </c>
      <c r="F15" s="2" t="s">
        <v>92</v>
      </c>
      <c r="G15" s="2" t="s">
        <v>667</v>
      </c>
      <c r="H15" s="222"/>
      <c r="I15" s="221">
        <v>1.0</v>
      </c>
      <c r="J15" s="221">
        <v>2.0</v>
      </c>
      <c r="K15" s="2" t="s">
        <v>92</v>
      </c>
      <c r="L15" s="2" t="s">
        <v>667</v>
      </c>
      <c r="M15" s="222"/>
      <c r="N15" s="221">
        <v>2.0</v>
      </c>
      <c r="O15" s="221">
        <v>2.0</v>
      </c>
      <c r="P15" s="2" t="s">
        <v>92</v>
      </c>
      <c r="Q15" s="2" t="s">
        <v>667</v>
      </c>
      <c r="R15" s="222"/>
      <c r="S15" s="221">
        <v>1.5</v>
      </c>
      <c r="T15" s="221">
        <v>2.0</v>
      </c>
      <c r="U15" s="2" t="s">
        <v>92</v>
      </c>
      <c r="V15" s="2" t="s">
        <v>667</v>
      </c>
      <c r="W15" s="222"/>
      <c r="X15" s="221">
        <v>2.0</v>
      </c>
      <c r="Y15" s="221">
        <v>2.0</v>
      </c>
      <c r="Z15" s="223">
        <v>0.0</v>
      </c>
      <c r="AA15" s="223">
        <v>0.0</v>
      </c>
      <c r="AB15" s="223">
        <v>0.0</v>
      </c>
      <c r="AC15" s="223">
        <v>0.0</v>
      </c>
      <c r="AD15" s="224">
        <v>0.0</v>
      </c>
      <c r="AE15" s="174">
        <f t="shared" si="1"/>
        <v>14.5</v>
      </c>
      <c r="AF15" s="225">
        <f t="shared" si="2"/>
        <v>0</v>
      </c>
    </row>
    <row r="16">
      <c r="A16" s="216">
        <v>13.0</v>
      </c>
      <c r="B16" s="121" t="s">
        <v>90</v>
      </c>
      <c r="C16" s="87"/>
      <c r="D16" s="43" t="s">
        <v>107</v>
      </c>
      <c r="E16" s="46" t="s">
        <v>276</v>
      </c>
      <c r="F16" s="167" t="s">
        <v>672</v>
      </c>
      <c r="G16" s="167" t="s">
        <v>673</v>
      </c>
      <c r="H16" s="222"/>
      <c r="I16" s="221">
        <v>0.0</v>
      </c>
      <c r="J16" s="221">
        <v>0.0</v>
      </c>
      <c r="K16" s="2" t="s">
        <v>92</v>
      </c>
      <c r="L16" s="2" t="s">
        <v>667</v>
      </c>
      <c r="M16" s="222"/>
      <c r="N16" s="221">
        <v>0.0</v>
      </c>
      <c r="O16" s="221">
        <v>2.0</v>
      </c>
      <c r="P16" s="2" t="s">
        <v>92</v>
      </c>
      <c r="Q16" s="2" t="s">
        <v>667</v>
      </c>
      <c r="R16" s="222"/>
      <c r="S16" s="221">
        <v>0.0</v>
      </c>
      <c r="T16" s="221">
        <v>2.0</v>
      </c>
      <c r="U16" s="2" t="s">
        <v>92</v>
      </c>
      <c r="V16" s="2" t="s">
        <v>667</v>
      </c>
      <c r="W16" s="222"/>
      <c r="X16" s="221">
        <v>2.0</v>
      </c>
      <c r="Y16" s="221">
        <v>2.0</v>
      </c>
      <c r="Z16" s="223">
        <v>0.0</v>
      </c>
      <c r="AA16" s="223">
        <v>0.0</v>
      </c>
      <c r="AB16" s="223">
        <v>0.0</v>
      </c>
      <c r="AC16" s="223">
        <v>0.0</v>
      </c>
      <c r="AD16" s="224">
        <v>1.0</v>
      </c>
      <c r="AE16" s="174">
        <f t="shared" si="1"/>
        <v>8</v>
      </c>
      <c r="AF16" s="225">
        <f t="shared" si="2"/>
        <v>6.5</v>
      </c>
    </row>
    <row r="17">
      <c r="A17" s="39">
        <v>14.0</v>
      </c>
      <c r="B17" s="62" t="s">
        <v>90</v>
      </c>
      <c r="C17" s="59"/>
      <c r="D17" s="43" t="s">
        <v>112</v>
      </c>
      <c r="E17" s="43" t="s">
        <v>292</v>
      </c>
      <c r="F17" s="2" t="s">
        <v>92</v>
      </c>
      <c r="G17" s="2" t="s">
        <v>667</v>
      </c>
      <c r="H17" s="222"/>
      <c r="I17" s="221">
        <v>1.5</v>
      </c>
      <c r="J17" s="221">
        <v>2.0</v>
      </c>
      <c r="K17" s="2" t="s">
        <v>92</v>
      </c>
      <c r="L17" s="2" t="s">
        <v>667</v>
      </c>
      <c r="M17" s="222"/>
      <c r="N17" s="221">
        <v>2.0</v>
      </c>
      <c r="O17" s="221">
        <v>0.0</v>
      </c>
      <c r="P17" s="2" t="s">
        <v>92</v>
      </c>
      <c r="Q17" s="2" t="s">
        <v>667</v>
      </c>
      <c r="R17" s="222"/>
      <c r="S17" s="221">
        <v>0.0</v>
      </c>
      <c r="T17" s="221">
        <v>2.0</v>
      </c>
      <c r="U17" s="2" t="s">
        <v>92</v>
      </c>
      <c r="V17" s="2" t="s">
        <v>667</v>
      </c>
      <c r="W17" s="222"/>
      <c r="X17" s="221">
        <v>0.0</v>
      </c>
      <c r="Y17" s="221">
        <v>2.0</v>
      </c>
      <c r="Z17" s="223">
        <v>0.0</v>
      </c>
      <c r="AA17" s="223">
        <v>0.0</v>
      </c>
      <c r="AB17" s="223">
        <v>0.0</v>
      </c>
      <c r="AC17" s="223">
        <v>0.0</v>
      </c>
      <c r="AD17" s="224">
        <v>0.0</v>
      </c>
      <c r="AE17" s="174">
        <f t="shared" si="1"/>
        <v>9.5</v>
      </c>
      <c r="AF17" s="225">
        <f t="shared" si="2"/>
        <v>5</v>
      </c>
    </row>
    <row r="18">
      <c r="A18" s="216">
        <v>15.0</v>
      </c>
      <c r="B18" s="62" t="s">
        <v>90</v>
      </c>
      <c r="C18" s="59"/>
      <c r="D18" s="43" t="s">
        <v>112</v>
      </c>
      <c r="E18" s="43" t="s">
        <v>117</v>
      </c>
      <c r="F18" s="2" t="s">
        <v>92</v>
      </c>
      <c r="G18" s="2" t="s">
        <v>667</v>
      </c>
      <c r="H18" s="222"/>
      <c r="I18" s="221">
        <v>2.0</v>
      </c>
      <c r="J18" s="221">
        <v>2.0</v>
      </c>
      <c r="K18" s="2" t="s">
        <v>92</v>
      </c>
      <c r="L18" s="2" t="s">
        <v>667</v>
      </c>
      <c r="M18" s="222"/>
      <c r="N18" s="221">
        <v>2.0</v>
      </c>
      <c r="O18" s="221">
        <v>2.0</v>
      </c>
      <c r="P18" s="2" t="s">
        <v>92</v>
      </c>
      <c r="Q18" s="2" t="s">
        <v>667</v>
      </c>
      <c r="R18" s="222"/>
      <c r="S18" s="221">
        <v>2.0</v>
      </c>
      <c r="T18" s="221">
        <v>2.0</v>
      </c>
      <c r="U18" s="2" t="s">
        <v>92</v>
      </c>
      <c r="V18" s="2" t="s">
        <v>667</v>
      </c>
      <c r="W18" s="222"/>
      <c r="X18" s="221">
        <v>2.0</v>
      </c>
      <c r="Y18" s="221">
        <v>2.0</v>
      </c>
      <c r="Z18" s="223">
        <v>0.0</v>
      </c>
      <c r="AA18" s="223">
        <v>0.0</v>
      </c>
      <c r="AB18" s="223">
        <v>0.0</v>
      </c>
      <c r="AC18" s="223">
        <v>0.0</v>
      </c>
      <c r="AD18" s="224">
        <v>0.0</v>
      </c>
      <c r="AE18" s="174">
        <f t="shared" si="1"/>
        <v>16</v>
      </c>
      <c r="AF18" s="225">
        <f t="shared" si="2"/>
        <v>-1.5</v>
      </c>
    </row>
    <row r="19">
      <c r="A19" s="39">
        <v>16.0</v>
      </c>
      <c r="B19" s="62" t="s">
        <v>90</v>
      </c>
      <c r="C19" s="59"/>
      <c r="D19" s="43" t="s">
        <v>126</v>
      </c>
      <c r="E19" s="43" t="s">
        <v>127</v>
      </c>
      <c r="F19" s="2" t="s">
        <v>92</v>
      </c>
      <c r="G19" s="2" t="s">
        <v>667</v>
      </c>
      <c r="H19" s="222"/>
      <c r="I19" s="221">
        <v>0.0</v>
      </c>
      <c r="J19" s="221">
        <v>2.0</v>
      </c>
      <c r="K19" s="2" t="s">
        <v>92</v>
      </c>
      <c r="L19" s="2" t="s">
        <v>667</v>
      </c>
      <c r="M19" s="222"/>
      <c r="N19" s="221">
        <v>2.0</v>
      </c>
      <c r="O19" s="221">
        <v>2.0</v>
      </c>
      <c r="P19" s="2" t="s">
        <v>92</v>
      </c>
      <c r="Q19" s="2" t="s">
        <v>667</v>
      </c>
      <c r="R19" s="222"/>
      <c r="S19" s="221">
        <v>2.0</v>
      </c>
      <c r="T19" s="221">
        <v>2.0</v>
      </c>
      <c r="U19" s="2" t="s">
        <v>92</v>
      </c>
      <c r="V19" s="2" t="s">
        <v>667</v>
      </c>
      <c r="W19" s="222"/>
      <c r="X19" s="221">
        <v>2.0</v>
      </c>
      <c r="Y19" s="221">
        <v>2.0</v>
      </c>
      <c r="Z19" s="223">
        <v>0.0</v>
      </c>
      <c r="AA19" s="223">
        <v>0.0</v>
      </c>
      <c r="AB19" s="223">
        <v>0.0</v>
      </c>
      <c r="AC19" s="223">
        <v>0.0</v>
      </c>
      <c r="AD19" s="224">
        <v>0.0</v>
      </c>
      <c r="AE19" s="174">
        <f t="shared" si="1"/>
        <v>14</v>
      </c>
      <c r="AF19" s="225">
        <f t="shared" si="2"/>
        <v>0.5</v>
      </c>
    </row>
    <row r="20">
      <c r="A20" s="216">
        <v>17.0</v>
      </c>
      <c r="B20" s="62" t="s">
        <v>90</v>
      </c>
      <c r="C20" s="59"/>
      <c r="D20" s="43" t="s">
        <v>119</v>
      </c>
      <c r="E20" s="43" t="s">
        <v>121</v>
      </c>
      <c r="F20" s="2" t="s">
        <v>92</v>
      </c>
      <c r="G20" s="2" t="s">
        <v>667</v>
      </c>
      <c r="H20" s="222"/>
      <c r="I20" s="229">
        <v>2.0</v>
      </c>
      <c r="J20" s="228">
        <v>0.0</v>
      </c>
      <c r="K20" s="2" t="s">
        <v>92</v>
      </c>
      <c r="L20" s="2" t="s">
        <v>667</v>
      </c>
      <c r="M20" s="222"/>
      <c r="N20" s="229">
        <v>2.0</v>
      </c>
      <c r="O20" s="229">
        <v>2.0</v>
      </c>
      <c r="P20" s="167" t="s">
        <v>672</v>
      </c>
      <c r="Q20" s="167" t="s">
        <v>673</v>
      </c>
      <c r="R20" s="222"/>
      <c r="S20" s="228">
        <v>0.0</v>
      </c>
      <c r="T20" s="228">
        <v>0.0</v>
      </c>
      <c r="U20" s="2" t="s">
        <v>92</v>
      </c>
      <c r="V20" s="2" t="s">
        <v>667</v>
      </c>
      <c r="W20" s="222"/>
      <c r="X20" s="229">
        <v>2.0</v>
      </c>
      <c r="Y20" s="229">
        <v>2.0</v>
      </c>
      <c r="Z20" s="231">
        <v>0.0</v>
      </c>
      <c r="AA20" s="231">
        <v>0.0</v>
      </c>
      <c r="AB20" s="231">
        <v>0.0</v>
      </c>
      <c r="AC20" s="231">
        <v>0.0</v>
      </c>
      <c r="AD20" s="224">
        <v>1.0</v>
      </c>
      <c r="AE20" s="174">
        <f t="shared" si="1"/>
        <v>10</v>
      </c>
      <c r="AF20" s="225">
        <f t="shared" si="2"/>
        <v>4.5</v>
      </c>
    </row>
    <row r="21">
      <c r="A21" s="39">
        <v>18.0</v>
      </c>
      <c r="B21" s="62" t="s">
        <v>90</v>
      </c>
      <c r="C21" s="59"/>
      <c r="D21" s="54" t="s">
        <v>135</v>
      </c>
      <c r="E21" s="54" t="s">
        <v>136</v>
      </c>
      <c r="F21" s="2" t="s">
        <v>92</v>
      </c>
      <c r="G21" s="2" t="s">
        <v>667</v>
      </c>
      <c r="H21" s="222"/>
      <c r="I21" s="221">
        <v>2.0</v>
      </c>
      <c r="J21" s="221">
        <v>2.0</v>
      </c>
      <c r="K21" s="2" t="s">
        <v>92</v>
      </c>
      <c r="L21" s="2" t="s">
        <v>667</v>
      </c>
      <c r="M21" s="222"/>
      <c r="N21" s="221">
        <v>2.0</v>
      </c>
      <c r="O21" s="221">
        <v>2.0</v>
      </c>
      <c r="P21" s="2" t="s">
        <v>92</v>
      </c>
      <c r="Q21" s="2" t="s">
        <v>667</v>
      </c>
      <c r="R21" s="222"/>
      <c r="S21" s="221">
        <v>2.0</v>
      </c>
      <c r="T21" s="221">
        <v>2.0</v>
      </c>
      <c r="U21" s="2" t="s">
        <v>92</v>
      </c>
      <c r="V21" s="2" t="s">
        <v>667</v>
      </c>
      <c r="W21" s="222"/>
      <c r="X21" s="221">
        <v>2.0</v>
      </c>
      <c r="Y21" s="221">
        <v>0.0</v>
      </c>
      <c r="Z21" s="223">
        <v>0.0</v>
      </c>
      <c r="AA21" s="223">
        <v>0.0</v>
      </c>
      <c r="AB21" s="223">
        <v>0.0</v>
      </c>
      <c r="AC21" s="223">
        <v>0.0</v>
      </c>
      <c r="AD21" s="224">
        <v>0.0</v>
      </c>
      <c r="AE21" s="174">
        <f t="shared" si="1"/>
        <v>14</v>
      </c>
      <c r="AF21" s="225">
        <f t="shared" si="2"/>
        <v>0.5</v>
      </c>
    </row>
    <row r="22">
      <c r="A22" s="216">
        <v>19.0</v>
      </c>
      <c r="B22" s="62" t="s">
        <v>90</v>
      </c>
      <c r="C22" s="59"/>
      <c r="D22" s="43" t="s">
        <v>138</v>
      </c>
      <c r="E22" s="43" t="s">
        <v>139</v>
      </c>
      <c r="F22" s="2" t="s">
        <v>92</v>
      </c>
      <c r="G22" s="2" t="s">
        <v>667</v>
      </c>
      <c r="H22" s="222"/>
      <c r="I22" s="221">
        <v>2.0</v>
      </c>
      <c r="J22" s="221">
        <v>2.0</v>
      </c>
      <c r="K22" s="2" t="s">
        <v>92</v>
      </c>
      <c r="L22" s="2" t="s">
        <v>667</v>
      </c>
      <c r="M22" s="221" t="s">
        <v>725</v>
      </c>
      <c r="N22" s="221">
        <v>1.5</v>
      </c>
      <c r="O22" s="221">
        <v>2.0</v>
      </c>
      <c r="P22" s="2" t="s">
        <v>92</v>
      </c>
      <c r="Q22" s="2" t="s">
        <v>667</v>
      </c>
      <c r="R22" s="222"/>
      <c r="S22" s="221">
        <v>0.0</v>
      </c>
      <c r="T22" s="221">
        <v>2.0</v>
      </c>
      <c r="U22" s="167" t="s">
        <v>672</v>
      </c>
      <c r="V22" s="167" t="s">
        <v>673</v>
      </c>
      <c r="W22" s="222"/>
      <c r="X22" s="221">
        <v>2.0</v>
      </c>
      <c r="Y22" s="221">
        <v>0.0</v>
      </c>
      <c r="Z22" s="223">
        <v>0.0</v>
      </c>
      <c r="AA22" s="223">
        <v>0.0</v>
      </c>
      <c r="AB22" s="223">
        <v>0.0</v>
      </c>
      <c r="AC22" s="223">
        <v>0.0</v>
      </c>
      <c r="AD22" s="224">
        <v>1.0</v>
      </c>
      <c r="AE22" s="174">
        <f t="shared" si="1"/>
        <v>11.5</v>
      </c>
      <c r="AF22" s="225">
        <f t="shared" si="2"/>
        <v>3</v>
      </c>
    </row>
    <row r="23">
      <c r="A23" s="39">
        <v>20.0</v>
      </c>
      <c r="B23" s="62" t="s">
        <v>90</v>
      </c>
      <c r="C23" s="59"/>
      <c r="D23" s="43" t="s">
        <v>146</v>
      </c>
      <c r="E23" s="43" t="s">
        <v>149</v>
      </c>
      <c r="F23" s="167" t="s">
        <v>672</v>
      </c>
      <c r="G23" s="167" t="s">
        <v>673</v>
      </c>
      <c r="H23" s="222"/>
      <c r="I23" s="221">
        <v>0.0</v>
      </c>
      <c r="J23" s="221">
        <v>0.0</v>
      </c>
      <c r="K23" s="2" t="s">
        <v>92</v>
      </c>
      <c r="L23" s="2" t="s">
        <v>667</v>
      </c>
      <c r="M23" s="222"/>
      <c r="N23" s="221">
        <v>2.0</v>
      </c>
      <c r="O23" s="221">
        <v>2.0</v>
      </c>
      <c r="P23" s="2" t="s">
        <v>92</v>
      </c>
      <c r="Q23" s="2" t="s">
        <v>667</v>
      </c>
      <c r="R23" s="222"/>
      <c r="S23" s="221">
        <v>2.0</v>
      </c>
      <c r="T23" s="221">
        <v>2.0</v>
      </c>
      <c r="U23" s="2" t="s">
        <v>92</v>
      </c>
      <c r="V23" s="2" t="s">
        <v>667</v>
      </c>
      <c r="W23" s="222"/>
      <c r="X23" s="221">
        <v>2.0</v>
      </c>
      <c r="Y23" s="221">
        <v>2.0</v>
      </c>
      <c r="Z23" s="223">
        <v>0.0</v>
      </c>
      <c r="AA23" s="223">
        <v>0.0</v>
      </c>
      <c r="AB23" s="223">
        <v>0.0</v>
      </c>
      <c r="AC23" s="223">
        <v>0.0</v>
      </c>
      <c r="AD23" s="224">
        <v>1.0</v>
      </c>
      <c r="AE23" s="174">
        <f t="shared" si="1"/>
        <v>12</v>
      </c>
      <c r="AF23" s="225">
        <f t="shared" si="2"/>
        <v>2.5</v>
      </c>
    </row>
    <row r="24">
      <c r="A24" s="216">
        <v>21.0</v>
      </c>
      <c r="B24" s="105" t="s">
        <v>90</v>
      </c>
      <c r="C24" s="68"/>
      <c r="D24" s="74" t="s">
        <v>153</v>
      </c>
      <c r="E24" s="74" t="s">
        <v>154</v>
      </c>
      <c r="F24" s="2" t="s">
        <v>92</v>
      </c>
      <c r="G24" s="2" t="s">
        <v>667</v>
      </c>
      <c r="H24" s="221" t="s">
        <v>726</v>
      </c>
      <c r="I24" s="221">
        <v>2.0</v>
      </c>
      <c r="J24" s="221">
        <v>2.0</v>
      </c>
      <c r="K24" s="2" t="s">
        <v>92</v>
      </c>
      <c r="L24" s="2" t="s">
        <v>667</v>
      </c>
      <c r="M24" s="221" t="s">
        <v>727</v>
      </c>
      <c r="N24" s="221">
        <v>0.0</v>
      </c>
      <c r="O24" s="221">
        <v>0.0</v>
      </c>
      <c r="P24" s="2" t="s">
        <v>92</v>
      </c>
      <c r="Q24" s="2" t="s">
        <v>667</v>
      </c>
      <c r="R24" s="222"/>
      <c r="S24" s="221">
        <v>2.0</v>
      </c>
      <c r="T24" s="221">
        <v>1.0</v>
      </c>
      <c r="U24" s="2" t="s">
        <v>92</v>
      </c>
      <c r="V24" s="2" t="s">
        <v>667</v>
      </c>
      <c r="W24" s="222"/>
      <c r="X24" s="221">
        <v>0.0</v>
      </c>
      <c r="Y24" s="221">
        <v>0.0</v>
      </c>
      <c r="Z24" s="223">
        <v>0.0</v>
      </c>
      <c r="AA24" s="223">
        <v>0.0</v>
      </c>
      <c r="AB24" s="223">
        <v>0.0</v>
      </c>
      <c r="AC24" s="223">
        <v>0.0</v>
      </c>
      <c r="AD24" s="224">
        <v>0.0</v>
      </c>
      <c r="AE24" s="174">
        <f t="shared" si="1"/>
        <v>7</v>
      </c>
      <c r="AF24" s="225">
        <f t="shared" si="2"/>
        <v>7.5</v>
      </c>
    </row>
    <row r="25">
      <c r="A25" s="39">
        <v>22.0</v>
      </c>
      <c r="B25" s="62" t="s">
        <v>90</v>
      </c>
      <c r="C25" s="59"/>
      <c r="D25" s="54" t="s">
        <v>162</v>
      </c>
      <c r="E25" s="54" t="s">
        <v>163</v>
      </c>
      <c r="F25" s="2" t="s">
        <v>92</v>
      </c>
      <c r="G25" s="2" t="s">
        <v>667</v>
      </c>
      <c r="H25" s="222"/>
      <c r="I25" s="221">
        <v>2.0</v>
      </c>
      <c r="J25" s="221">
        <v>2.0</v>
      </c>
      <c r="K25" s="2" t="s">
        <v>92</v>
      </c>
      <c r="L25" s="2" t="s">
        <v>667</v>
      </c>
      <c r="M25" s="222"/>
      <c r="N25" s="221">
        <v>2.0</v>
      </c>
      <c r="O25" s="221">
        <v>2.0</v>
      </c>
      <c r="P25" s="2" t="s">
        <v>92</v>
      </c>
      <c r="Q25" s="2" t="s">
        <v>667</v>
      </c>
      <c r="R25" s="222"/>
      <c r="S25" s="221">
        <v>2.0</v>
      </c>
      <c r="T25" s="221">
        <v>2.0</v>
      </c>
      <c r="U25" s="167" t="s">
        <v>672</v>
      </c>
      <c r="V25" s="167" t="s">
        <v>673</v>
      </c>
      <c r="W25" s="222"/>
      <c r="X25" s="221">
        <v>0.0</v>
      </c>
      <c r="Y25" s="221">
        <v>0.0</v>
      </c>
      <c r="Z25" s="223">
        <v>0.0</v>
      </c>
      <c r="AA25" s="223">
        <v>0.0</v>
      </c>
      <c r="AB25" s="223">
        <v>0.0</v>
      </c>
      <c r="AC25" s="223">
        <v>0.0</v>
      </c>
      <c r="AD25" s="224">
        <v>1.0</v>
      </c>
      <c r="AE25" s="174">
        <f t="shared" si="1"/>
        <v>12</v>
      </c>
      <c r="AF25" s="225">
        <f t="shared" si="2"/>
        <v>2.5</v>
      </c>
    </row>
    <row r="26">
      <c r="A26" s="216">
        <v>23.0</v>
      </c>
      <c r="B26" s="105" t="s">
        <v>90</v>
      </c>
      <c r="C26" s="68"/>
      <c r="D26" s="70" t="s">
        <v>165</v>
      </c>
      <c r="E26" s="74" t="s">
        <v>166</v>
      </c>
      <c r="F26" s="2" t="s">
        <v>92</v>
      </c>
      <c r="G26" s="2" t="s">
        <v>667</v>
      </c>
      <c r="H26" s="222"/>
      <c r="I26" s="221">
        <v>2.0</v>
      </c>
      <c r="J26" s="221">
        <v>2.0</v>
      </c>
      <c r="K26" s="2" t="s">
        <v>92</v>
      </c>
      <c r="L26" s="2" t="s">
        <v>667</v>
      </c>
      <c r="M26" s="222"/>
      <c r="N26" s="221">
        <v>2.0</v>
      </c>
      <c r="O26" s="221">
        <v>2.0</v>
      </c>
      <c r="P26" s="2" t="s">
        <v>92</v>
      </c>
      <c r="Q26" s="2" t="s">
        <v>667</v>
      </c>
      <c r="R26" s="222"/>
      <c r="S26" s="221">
        <v>2.0</v>
      </c>
      <c r="T26" s="221">
        <v>2.0</v>
      </c>
      <c r="U26" s="2" t="s">
        <v>92</v>
      </c>
      <c r="V26" s="2" t="s">
        <v>667</v>
      </c>
      <c r="W26" s="222"/>
      <c r="X26" s="221">
        <v>0.0</v>
      </c>
      <c r="Y26" s="221">
        <v>0.0</v>
      </c>
      <c r="Z26" s="223">
        <v>0.0</v>
      </c>
      <c r="AA26" s="223">
        <v>0.0</v>
      </c>
      <c r="AB26" s="223">
        <v>0.0</v>
      </c>
      <c r="AC26" s="223">
        <v>0.0</v>
      </c>
      <c r="AD26" s="224">
        <v>0.0</v>
      </c>
      <c r="AE26" s="174">
        <f t="shared" si="1"/>
        <v>12</v>
      </c>
      <c r="AF26" s="225">
        <f t="shared" si="2"/>
        <v>2.5</v>
      </c>
    </row>
    <row r="27">
      <c r="A27" s="39">
        <v>24.0</v>
      </c>
      <c r="B27" s="62" t="s">
        <v>90</v>
      </c>
      <c r="C27" s="59"/>
      <c r="D27" s="43" t="s">
        <v>175</v>
      </c>
      <c r="E27" s="43" t="s">
        <v>80</v>
      </c>
      <c r="F27" s="2" t="s">
        <v>92</v>
      </c>
      <c r="G27" s="2" t="s">
        <v>667</v>
      </c>
      <c r="H27" s="222"/>
      <c r="I27" s="221">
        <v>2.0</v>
      </c>
      <c r="J27" s="221">
        <v>2.0</v>
      </c>
      <c r="K27" s="2" t="s">
        <v>92</v>
      </c>
      <c r="L27" s="2" t="s">
        <v>667</v>
      </c>
      <c r="M27" s="222"/>
      <c r="N27" s="221">
        <v>2.0</v>
      </c>
      <c r="O27" s="221">
        <v>2.0</v>
      </c>
      <c r="P27" s="2" t="s">
        <v>92</v>
      </c>
      <c r="Q27" s="2" t="s">
        <v>667</v>
      </c>
      <c r="R27" s="222"/>
      <c r="S27" s="221">
        <v>2.0</v>
      </c>
      <c r="T27" s="221">
        <v>2.0</v>
      </c>
      <c r="U27" s="2" t="s">
        <v>92</v>
      </c>
      <c r="V27" s="2" t="s">
        <v>667</v>
      </c>
      <c r="W27" s="222"/>
      <c r="X27" s="221">
        <v>2.0</v>
      </c>
      <c r="Y27" s="221">
        <v>2.0</v>
      </c>
      <c r="Z27" s="223">
        <v>0.0</v>
      </c>
      <c r="AA27" s="223">
        <v>0.0</v>
      </c>
      <c r="AB27" s="223">
        <v>0.0</v>
      </c>
      <c r="AC27" s="223">
        <v>0.0</v>
      </c>
      <c r="AD27" s="224">
        <v>0.0</v>
      </c>
      <c r="AE27" s="174">
        <f t="shared" si="1"/>
        <v>16</v>
      </c>
      <c r="AF27" s="225">
        <f t="shared" si="2"/>
        <v>-1.5</v>
      </c>
    </row>
    <row r="28">
      <c r="A28" s="216">
        <v>25.0</v>
      </c>
      <c r="B28" s="62" t="s">
        <v>90</v>
      </c>
      <c r="C28" s="59"/>
      <c r="D28" s="46" t="s">
        <v>180</v>
      </c>
      <c r="E28" s="46" t="s">
        <v>181</v>
      </c>
      <c r="F28" s="2" t="s">
        <v>92</v>
      </c>
      <c r="G28" s="2" t="s">
        <v>667</v>
      </c>
      <c r="H28" s="222"/>
      <c r="I28" s="221">
        <v>2.0</v>
      </c>
      <c r="J28" s="221">
        <v>2.0</v>
      </c>
      <c r="K28" s="2" t="s">
        <v>92</v>
      </c>
      <c r="L28" s="2" t="s">
        <v>667</v>
      </c>
      <c r="M28" s="222"/>
      <c r="N28" s="221">
        <v>2.0</v>
      </c>
      <c r="O28" s="221">
        <v>2.0</v>
      </c>
      <c r="P28" s="2" t="s">
        <v>92</v>
      </c>
      <c r="Q28" s="2" t="s">
        <v>667</v>
      </c>
      <c r="R28" s="222"/>
      <c r="S28" s="221">
        <v>2.0</v>
      </c>
      <c r="T28" s="221">
        <v>2.0</v>
      </c>
      <c r="U28" s="2" t="s">
        <v>92</v>
      </c>
      <c r="V28" s="2" t="s">
        <v>667</v>
      </c>
      <c r="W28" s="222"/>
      <c r="X28" s="221">
        <v>0.0</v>
      </c>
      <c r="Y28" s="221">
        <v>2.0</v>
      </c>
      <c r="Z28" s="223">
        <v>0.0</v>
      </c>
      <c r="AA28" s="223">
        <v>0.0</v>
      </c>
      <c r="AB28" s="223">
        <v>0.0</v>
      </c>
      <c r="AC28" s="223">
        <v>0.0</v>
      </c>
      <c r="AD28" s="224">
        <v>0.0</v>
      </c>
      <c r="AE28" s="174">
        <f t="shared" si="1"/>
        <v>14</v>
      </c>
      <c r="AF28" s="225">
        <f t="shared" si="2"/>
        <v>0.5</v>
      </c>
    </row>
    <row r="29">
      <c r="A29" s="39">
        <v>26.0</v>
      </c>
      <c r="B29" s="105" t="s">
        <v>90</v>
      </c>
      <c r="C29" s="68"/>
      <c r="D29" s="70" t="s">
        <v>184</v>
      </c>
      <c r="E29" s="74" t="s">
        <v>185</v>
      </c>
      <c r="F29" s="167" t="s">
        <v>672</v>
      </c>
      <c r="G29" s="167" t="s">
        <v>684</v>
      </c>
      <c r="H29" s="222"/>
      <c r="I29" s="221">
        <v>0.0</v>
      </c>
      <c r="J29" s="221">
        <v>0.0</v>
      </c>
      <c r="K29" s="2" t="s">
        <v>92</v>
      </c>
      <c r="L29" s="2" t="s">
        <v>667</v>
      </c>
      <c r="M29" s="222"/>
      <c r="N29" s="221">
        <v>2.0</v>
      </c>
      <c r="O29" s="221">
        <v>2.0</v>
      </c>
      <c r="P29" s="2" t="s">
        <v>92</v>
      </c>
      <c r="Q29" s="2" t="s">
        <v>667</v>
      </c>
      <c r="R29" s="222"/>
      <c r="S29" s="221">
        <v>2.0</v>
      </c>
      <c r="T29" s="221">
        <v>2.0</v>
      </c>
      <c r="U29" s="2" t="s">
        <v>92</v>
      </c>
      <c r="V29" s="2" t="s">
        <v>667</v>
      </c>
      <c r="W29" s="222"/>
      <c r="X29" s="221">
        <v>0.0</v>
      </c>
      <c r="Y29" s="221">
        <v>0.0</v>
      </c>
      <c r="Z29" s="223">
        <v>0.0</v>
      </c>
      <c r="AA29" s="223">
        <v>0.0</v>
      </c>
      <c r="AB29" s="223">
        <v>0.0</v>
      </c>
      <c r="AC29" s="223">
        <v>0.0</v>
      </c>
      <c r="AD29" s="224">
        <v>1.0</v>
      </c>
      <c r="AE29" s="174">
        <f t="shared" si="1"/>
        <v>8</v>
      </c>
      <c r="AF29" s="225">
        <f t="shared" si="2"/>
        <v>6.5</v>
      </c>
    </row>
    <row r="30">
      <c r="A30" s="216">
        <v>27.0</v>
      </c>
      <c r="B30" s="62" t="s">
        <v>90</v>
      </c>
      <c r="C30" s="59"/>
      <c r="D30" s="54" t="s">
        <v>193</v>
      </c>
      <c r="E30" s="54" t="s">
        <v>194</v>
      </c>
      <c r="F30" s="218" t="s">
        <v>92</v>
      </c>
      <c r="G30" s="2" t="s">
        <v>667</v>
      </c>
      <c r="H30" s="222"/>
      <c r="I30" s="221">
        <v>0.0</v>
      </c>
      <c r="J30" s="221">
        <v>2.0</v>
      </c>
      <c r="K30" s="2" t="s">
        <v>92</v>
      </c>
      <c r="L30" s="2" t="s">
        <v>667</v>
      </c>
      <c r="M30" s="222"/>
      <c r="N30" s="221">
        <v>2.0</v>
      </c>
      <c r="O30" s="221">
        <v>2.0</v>
      </c>
      <c r="P30" s="2" t="s">
        <v>92</v>
      </c>
      <c r="Q30" s="2" t="s">
        <v>667</v>
      </c>
      <c r="R30" s="222"/>
      <c r="S30" s="221">
        <v>1.5</v>
      </c>
      <c r="T30" s="221">
        <v>2.0</v>
      </c>
      <c r="U30" s="2" t="s">
        <v>92</v>
      </c>
      <c r="V30" s="2" t="s">
        <v>667</v>
      </c>
      <c r="W30" s="222"/>
      <c r="X30" s="221">
        <v>2.0</v>
      </c>
      <c r="Y30" s="221">
        <v>2.0</v>
      </c>
      <c r="Z30" s="223">
        <v>0.0</v>
      </c>
      <c r="AA30" s="223">
        <v>0.0</v>
      </c>
      <c r="AB30" s="223">
        <v>0.0</v>
      </c>
      <c r="AC30" s="223">
        <v>0.0</v>
      </c>
      <c r="AD30" s="224">
        <v>0.0</v>
      </c>
      <c r="AE30" s="174">
        <f t="shared" si="1"/>
        <v>13.5</v>
      </c>
      <c r="AF30" s="225">
        <f t="shared" si="2"/>
        <v>1</v>
      </c>
    </row>
    <row r="31">
      <c r="A31" s="39">
        <v>28.0</v>
      </c>
      <c r="B31" s="62" t="s">
        <v>90</v>
      </c>
      <c r="C31" s="59"/>
      <c r="D31" s="54" t="s">
        <v>199</v>
      </c>
      <c r="E31" s="54" t="s">
        <v>200</v>
      </c>
      <c r="F31" s="218" t="s">
        <v>92</v>
      </c>
      <c r="G31" s="2" t="s">
        <v>667</v>
      </c>
      <c r="H31" s="222"/>
      <c r="I31" s="221">
        <v>2.0</v>
      </c>
      <c r="J31" s="221">
        <v>2.0</v>
      </c>
      <c r="K31" s="2" t="s">
        <v>92</v>
      </c>
      <c r="L31" s="2" t="s">
        <v>667</v>
      </c>
      <c r="M31" s="222"/>
      <c r="N31" s="221">
        <v>2.0</v>
      </c>
      <c r="O31" s="221">
        <v>2.0</v>
      </c>
      <c r="P31" s="2" t="s">
        <v>92</v>
      </c>
      <c r="Q31" s="2" t="s">
        <v>667</v>
      </c>
      <c r="R31" s="222"/>
      <c r="S31" s="221">
        <v>2.0</v>
      </c>
      <c r="T31" s="221">
        <v>2.0</v>
      </c>
      <c r="U31" s="2" t="s">
        <v>92</v>
      </c>
      <c r="V31" s="2" t="s">
        <v>667</v>
      </c>
      <c r="W31" s="222"/>
      <c r="X31" s="221">
        <v>2.0</v>
      </c>
      <c r="Y31" s="221">
        <v>2.0</v>
      </c>
      <c r="Z31" s="223">
        <v>0.0</v>
      </c>
      <c r="AA31" s="223">
        <v>0.0</v>
      </c>
      <c r="AB31" s="223">
        <v>0.0</v>
      </c>
      <c r="AC31" s="223">
        <v>0.0</v>
      </c>
      <c r="AD31" s="224">
        <v>0.0</v>
      </c>
      <c r="AE31" s="174">
        <f t="shared" si="1"/>
        <v>16</v>
      </c>
      <c r="AF31" s="225">
        <f t="shared" si="2"/>
        <v>-1.5</v>
      </c>
    </row>
    <row r="32">
      <c r="A32" s="216">
        <v>29.0</v>
      </c>
      <c r="B32" s="62" t="s">
        <v>90</v>
      </c>
      <c r="C32" s="59"/>
      <c r="D32" s="46" t="s">
        <v>206</v>
      </c>
      <c r="E32" s="46" t="s">
        <v>397</v>
      </c>
      <c r="F32" s="218" t="s">
        <v>92</v>
      </c>
      <c r="G32" s="2" t="s">
        <v>667</v>
      </c>
      <c r="H32" s="222"/>
      <c r="I32" s="221">
        <v>2.0</v>
      </c>
      <c r="J32" s="221">
        <v>2.0</v>
      </c>
      <c r="K32" s="2" t="s">
        <v>92</v>
      </c>
      <c r="L32" s="2" t="s">
        <v>667</v>
      </c>
      <c r="M32" s="221" t="s">
        <v>728</v>
      </c>
      <c r="N32" s="221">
        <v>2.0</v>
      </c>
      <c r="O32" s="221">
        <v>2.0</v>
      </c>
      <c r="P32" s="2" t="s">
        <v>92</v>
      </c>
      <c r="Q32" s="2" t="s">
        <v>667</v>
      </c>
      <c r="R32" s="222"/>
      <c r="S32" s="221">
        <v>2.0</v>
      </c>
      <c r="T32" s="221">
        <v>2.0</v>
      </c>
      <c r="U32" s="2" t="s">
        <v>92</v>
      </c>
      <c r="V32" s="2" t="s">
        <v>667</v>
      </c>
      <c r="W32" s="222"/>
      <c r="X32" s="221">
        <v>2.0</v>
      </c>
      <c r="Y32" s="221">
        <v>2.0</v>
      </c>
      <c r="Z32" s="223">
        <v>0.0</v>
      </c>
      <c r="AA32" s="223">
        <v>0.0</v>
      </c>
      <c r="AB32" s="223">
        <v>0.0</v>
      </c>
      <c r="AC32" s="223">
        <v>0.0</v>
      </c>
      <c r="AD32" s="224">
        <v>0.0</v>
      </c>
      <c r="AE32" s="174">
        <f t="shared" si="1"/>
        <v>16</v>
      </c>
      <c r="AF32" s="225">
        <f t="shared" si="2"/>
        <v>-1.5</v>
      </c>
    </row>
    <row r="33">
      <c r="A33" s="39">
        <v>30.0</v>
      </c>
      <c r="B33" s="62" t="s">
        <v>90</v>
      </c>
      <c r="C33" s="59"/>
      <c r="D33" s="36" t="s">
        <v>210</v>
      </c>
      <c r="E33" s="36" t="s">
        <v>211</v>
      </c>
      <c r="F33" s="218" t="s">
        <v>92</v>
      </c>
      <c r="G33" s="2" t="s">
        <v>667</v>
      </c>
      <c r="H33" s="222"/>
      <c r="I33" s="221">
        <v>1.5</v>
      </c>
      <c r="J33" s="221">
        <v>2.0</v>
      </c>
      <c r="K33" s="2" t="s">
        <v>92</v>
      </c>
      <c r="L33" s="167" t="s">
        <v>706</v>
      </c>
      <c r="M33" s="222"/>
      <c r="N33" s="221">
        <v>2.0</v>
      </c>
      <c r="O33" s="221">
        <v>1.0</v>
      </c>
      <c r="P33" s="2" t="s">
        <v>92</v>
      </c>
      <c r="Q33" s="2" t="s">
        <v>667</v>
      </c>
      <c r="R33" s="222"/>
      <c r="S33" s="221">
        <v>2.0</v>
      </c>
      <c r="T33" s="221">
        <v>1.0</v>
      </c>
      <c r="U33" s="2" t="s">
        <v>92</v>
      </c>
      <c r="V33" s="2" t="s">
        <v>667</v>
      </c>
      <c r="W33" s="222"/>
      <c r="X33" s="221">
        <v>1.5</v>
      </c>
      <c r="Y33" s="221">
        <v>0.0</v>
      </c>
      <c r="Z33" s="223">
        <v>0.0</v>
      </c>
      <c r="AA33" s="223">
        <v>0.0</v>
      </c>
      <c r="AB33" s="223">
        <v>0.0</v>
      </c>
      <c r="AC33" s="223">
        <v>0.0</v>
      </c>
      <c r="AD33" s="224">
        <v>0.0</v>
      </c>
      <c r="AE33" s="174">
        <f t="shared" si="1"/>
        <v>11</v>
      </c>
      <c r="AF33" s="225">
        <f t="shared" si="2"/>
        <v>3.5</v>
      </c>
    </row>
    <row r="34">
      <c r="A34" s="216">
        <v>31.0</v>
      </c>
      <c r="B34" s="62" t="s">
        <v>90</v>
      </c>
      <c r="C34" s="59"/>
      <c r="D34" s="43" t="s">
        <v>219</v>
      </c>
      <c r="E34" s="43" t="s">
        <v>415</v>
      </c>
      <c r="F34" s="219" t="s">
        <v>672</v>
      </c>
      <c r="G34" s="167" t="s">
        <v>673</v>
      </c>
      <c r="H34" s="221" t="s">
        <v>729</v>
      </c>
      <c r="I34" s="221">
        <v>2.0</v>
      </c>
      <c r="J34" s="221">
        <v>2.0</v>
      </c>
      <c r="K34" s="2" t="s">
        <v>92</v>
      </c>
      <c r="L34" s="2" t="s">
        <v>667</v>
      </c>
      <c r="M34" s="222"/>
      <c r="N34" s="221">
        <v>2.0</v>
      </c>
      <c r="O34" s="221">
        <v>2.0</v>
      </c>
      <c r="P34" s="167" t="s">
        <v>672</v>
      </c>
      <c r="Q34" s="167" t="s">
        <v>684</v>
      </c>
      <c r="R34" s="221" t="s">
        <v>722</v>
      </c>
      <c r="S34" s="221">
        <v>0.0</v>
      </c>
      <c r="T34" s="221">
        <v>2.0</v>
      </c>
      <c r="U34" s="2" t="s">
        <v>92</v>
      </c>
      <c r="V34" s="2" t="s">
        <v>667</v>
      </c>
      <c r="W34" s="222"/>
      <c r="X34" s="221">
        <v>2.0</v>
      </c>
      <c r="Y34" s="221">
        <v>0.0</v>
      </c>
      <c r="Z34" s="223">
        <v>0.0</v>
      </c>
      <c r="AA34" s="223">
        <v>0.0</v>
      </c>
      <c r="AB34" s="223">
        <v>0.0</v>
      </c>
      <c r="AC34" s="223">
        <v>0.0</v>
      </c>
      <c r="AD34" s="224">
        <v>2.0</v>
      </c>
      <c r="AE34" s="174">
        <f t="shared" si="1"/>
        <v>12</v>
      </c>
      <c r="AF34" s="225">
        <f t="shared" si="2"/>
        <v>2.5</v>
      </c>
    </row>
    <row r="35">
      <c r="A35" s="39">
        <v>32.0</v>
      </c>
      <c r="B35" s="62" t="s">
        <v>90</v>
      </c>
      <c r="C35" s="55" t="s">
        <v>99</v>
      </c>
      <c r="D35" s="43" t="s">
        <v>219</v>
      </c>
      <c r="E35" s="43" t="s">
        <v>225</v>
      </c>
      <c r="F35" s="218" t="s">
        <v>92</v>
      </c>
      <c r="G35" s="2" t="s">
        <v>667</v>
      </c>
      <c r="H35" s="222"/>
      <c r="I35" s="221">
        <v>2.0</v>
      </c>
      <c r="J35" s="221">
        <v>2.0</v>
      </c>
      <c r="K35" s="2" t="s">
        <v>92</v>
      </c>
      <c r="L35" s="2" t="s">
        <v>667</v>
      </c>
      <c r="M35" s="222"/>
      <c r="N35" s="221">
        <v>2.0</v>
      </c>
      <c r="O35" s="221">
        <v>2.0</v>
      </c>
      <c r="P35" s="2" t="s">
        <v>92</v>
      </c>
      <c r="Q35" s="2" t="s">
        <v>667</v>
      </c>
      <c r="R35" s="222"/>
      <c r="S35" s="221">
        <v>2.0</v>
      </c>
      <c r="T35" s="221">
        <v>2.0</v>
      </c>
      <c r="U35" s="2" t="s">
        <v>92</v>
      </c>
      <c r="V35" s="2" t="s">
        <v>667</v>
      </c>
      <c r="W35" s="222"/>
      <c r="X35" s="221">
        <v>2.0</v>
      </c>
      <c r="Y35" s="221">
        <v>2.0</v>
      </c>
      <c r="Z35" s="223">
        <v>0.0</v>
      </c>
      <c r="AA35" s="223">
        <v>0.0</v>
      </c>
      <c r="AB35" s="223">
        <v>0.0</v>
      </c>
      <c r="AC35" s="223">
        <v>0.0</v>
      </c>
      <c r="AD35" s="224">
        <v>0.0</v>
      </c>
      <c r="AE35" s="174">
        <f t="shared" si="1"/>
        <v>16</v>
      </c>
      <c r="AF35" s="225">
        <f t="shared" si="2"/>
        <v>-1.5</v>
      </c>
    </row>
    <row r="36">
      <c r="A36" s="216">
        <v>33.0</v>
      </c>
      <c r="B36" s="62" t="s">
        <v>90</v>
      </c>
      <c r="C36" s="59"/>
      <c r="D36" s="99" t="s">
        <v>233</v>
      </c>
      <c r="E36" s="99" t="s">
        <v>234</v>
      </c>
      <c r="F36" s="218" t="s">
        <v>92</v>
      </c>
      <c r="G36" s="2" t="s">
        <v>667</v>
      </c>
      <c r="H36" s="222"/>
      <c r="I36" s="221">
        <v>2.0</v>
      </c>
      <c r="J36" s="221">
        <v>2.0</v>
      </c>
      <c r="K36" s="2" t="s">
        <v>92</v>
      </c>
      <c r="L36" s="2" t="s">
        <v>667</v>
      </c>
      <c r="M36" s="222"/>
      <c r="N36" s="221">
        <v>2.0</v>
      </c>
      <c r="O36" s="221">
        <v>2.0</v>
      </c>
      <c r="P36" s="167" t="s">
        <v>672</v>
      </c>
      <c r="Q36" s="167" t="s">
        <v>684</v>
      </c>
      <c r="R36" s="221" t="s">
        <v>722</v>
      </c>
      <c r="S36" s="221">
        <v>0.0</v>
      </c>
      <c r="T36" s="221">
        <v>0.0</v>
      </c>
      <c r="U36" s="2" t="s">
        <v>92</v>
      </c>
      <c r="V36" s="2" t="s">
        <v>667</v>
      </c>
      <c r="W36" s="222"/>
      <c r="X36" s="221">
        <v>2.0</v>
      </c>
      <c r="Y36" s="221">
        <v>2.0</v>
      </c>
      <c r="Z36" s="223">
        <v>0.0</v>
      </c>
      <c r="AA36" s="223">
        <v>0.0</v>
      </c>
      <c r="AB36" s="223">
        <v>0.0</v>
      </c>
      <c r="AC36" s="223">
        <v>0.0</v>
      </c>
      <c r="AD36" s="224">
        <v>1.0</v>
      </c>
      <c r="AE36" s="174">
        <f t="shared" si="1"/>
        <v>12</v>
      </c>
      <c r="AF36" s="225">
        <f t="shared" si="2"/>
        <v>2.5</v>
      </c>
    </row>
    <row r="37">
      <c r="A37" s="39">
        <v>34.0</v>
      </c>
      <c r="B37" s="117" t="s">
        <v>90</v>
      </c>
      <c r="C37" s="113"/>
      <c r="D37" s="114" t="s">
        <v>243</v>
      </c>
      <c r="E37" s="114" t="s">
        <v>244</v>
      </c>
      <c r="F37" s="218" t="s">
        <v>92</v>
      </c>
      <c r="G37" s="2" t="s">
        <v>667</v>
      </c>
      <c r="H37" s="222"/>
      <c r="I37" s="221">
        <v>2.0</v>
      </c>
      <c r="J37" s="221">
        <v>0.5</v>
      </c>
      <c r="K37" s="2" t="s">
        <v>92</v>
      </c>
      <c r="L37" s="2" t="s">
        <v>667</v>
      </c>
      <c r="M37" s="222"/>
      <c r="N37" s="221">
        <v>0.0</v>
      </c>
      <c r="O37" s="221">
        <v>1.0</v>
      </c>
      <c r="P37" s="2" t="s">
        <v>92</v>
      </c>
      <c r="Q37" s="2" t="s">
        <v>667</v>
      </c>
      <c r="R37" s="222"/>
      <c r="S37" s="221">
        <v>0.0</v>
      </c>
      <c r="T37" s="221">
        <v>0.0</v>
      </c>
      <c r="U37" s="167" t="s">
        <v>672</v>
      </c>
      <c r="V37" s="167" t="s">
        <v>673</v>
      </c>
      <c r="W37" s="222"/>
      <c r="X37" s="221">
        <v>0.0</v>
      </c>
      <c r="Y37" s="221">
        <v>0.0</v>
      </c>
      <c r="Z37" s="223">
        <v>0.0</v>
      </c>
      <c r="AA37" s="223">
        <v>0.0</v>
      </c>
      <c r="AB37" s="223">
        <v>0.0</v>
      </c>
      <c r="AC37" s="223">
        <v>0.0</v>
      </c>
      <c r="AD37" s="224">
        <v>1.0</v>
      </c>
      <c r="AE37" s="174">
        <f t="shared" si="1"/>
        <v>3.5</v>
      </c>
      <c r="AF37" s="225">
        <f t="shared" si="2"/>
        <v>11</v>
      </c>
    </row>
    <row r="38">
      <c r="A38" s="216">
        <v>35.0</v>
      </c>
      <c r="B38" s="62" t="s">
        <v>90</v>
      </c>
      <c r="C38" s="55" t="s">
        <v>99</v>
      </c>
      <c r="D38" s="43" t="s">
        <v>435</v>
      </c>
      <c r="E38" s="43" t="s">
        <v>255</v>
      </c>
      <c r="F38" s="218" t="s">
        <v>92</v>
      </c>
      <c r="G38" s="2" t="s">
        <v>667</v>
      </c>
      <c r="H38" s="222"/>
      <c r="I38" s="221">
        <v>2.0</v>
      </c>
      <c r="J38" s="221">
        <v>2.0</v>
      </c>
      <c r="K38" s="2" t="s">
        <v>92</v>
      </c>
      <c r="L38" s="2" t="s">
        <v>667</v>
      </c>
      <c r="M38" s="222"/>
      <c r="N38" s="221">
        <v>2.0</v>
      </c>
      <c r="O38" s="221">
        <v>2.0</v>
      </c>
      <c r="P38" s="2" t="s">
        <v>92</v>
      </c>
      <c r="Q38" s="2" t="s">
        <v>667</v>
      </c>
      <c r="R38" s="222"/>
      <c r="S38" s="221">
        <v>2.0</v>
      </c>
      <c r="T38" s="221">
        <v>2.0</v>
      </c>
      <c r="U38" s="2" t="s">
        <v>92</v>
      </c>
      <c r="V38" s="2" t="s">
        <v>667</v>
      </c>
      <c r="W38" s="222"/>
      <c r="X38" s="221">
        <v>2.0</v>
      </c>
      <c r="Y38" s="221">
        <v>2.0</v>
      </c>
      <c r="Z38" s="223">
        <v>0.0</v>
      </c>
      <c r="AA38" s="223">
        <v>0.0</v>
      </c>
      <c r="AB38" s="223">
        <v>0.0</v>
      </c>
      <c r="AC38" s="223">
        <v>0.0</v>
      </c>
      <c r="AD38" s="224">
        <v>0.0</v>
      </c>
      <c r="AE38" s="174">
        <f t="shared" si="1"/>
        <v>16</v>
      </c>
      <c r="AF38" s="225">
        <f t="shared" si="2"/>
        <v>-1.5</v>
      </c>
    </row>
    <row r="39">
      <c r="A39" s="39">
        <v>36.0</v>
      </c>
      <c r="B39" s="62" t="s">
        <v>90</v>
      </c>
      <c r="C39" s="59"/>
      <c r="D39" s="46" t="s">
        <v>261</v>
      </c>
      <c r="E39" s="46" t="s">
        <v>444</v>
      </c>
      <c r="F39" s="218" t="s">
        <v>92</v>
      </c>
      <c r="G39" s="2" t="s">
        <v>667</v>
      </c>
      <c r="H39" s="222"/>
      <c r="I39" s="221">
        <v>0.0</v>
      </c>
      <c r="J39" s="221">
        <v>2.0</v>
      </c>
      <c r="K39" s="2" t="s">
        <v>92</v>
      </c>
      <c r="L39" s="2" t="s">
        <v>667</v>
      </c>
      <c r="M39" s="222"/>
      <c r="N39" s="221">
        <v>2.0</v>
      </c>
      <c r="O39" s="221">
        <v>2.0</v>
      </c>
      <c r="P39" s="2" t="s">
        <v>92</v>
      </c>
      <c r="Q39" s="2" t="s">
        <v>667</v>
      </c>
      <c r="R39" s="222"/>
      <c r="S39" s="221">
        <v>1.5</v>
      </c>
      <c r="T39" s="221">
        <v>2.0</v>
      </c>
      <c r="U39" s="2" t="s">
        <v>92</v>
      </c>
      <c r="V39" s="2" t="s">
        <v>667</v>
      </c>
      <c r="W39" s="222"/>
      <c r="X39" s="221">
        <v>2.0</v>
      </c>
      <c r="Y39" s="221">
        <v>2.0</v>
      </c>
      <c r="Z39" s="223">
        <v>0.0</v>
      </c>
      <c r="AA39" s="223">
        <v>0.0</v>
      </c>
      <c r="AB39" s="223">
        <v>0.0</v>
      </c>
      <c r="AC39" s="223">
        <v>0.0</v>
      </c>
      <c r="AD39" s="224">
        <v>0.0</v>
      </c>
      <c r="AE39" s="174">
        <f t="shared" si="1"/>
        <v>13.5</v>
      </c>
      <c r="AF39" s="225">
        <f t="shared" si="2"/>
        <v>1</v>
      </c>
    </row>
    <row r="40">
      <c r="A40" s="216">
        <v>37.0</v>
      </c>
      <c r="B40" s="62" t="s">
        <v>90</v>
      </c>
      <c r="C40" s="59"/>
      <c r="D40" s="46" t="s">
        <v>270</v>
      </c>
      <c r="E40" s="46" t="s">
        <v>271</v>
      </c>
      <c r="F40" s="218" t="s">
        <v>92</v>
      </c>
      <c r="G40" s="2" t="s">
        <v>667</v>
      </c>
      <c r="H40" s="222"/>
      <c r="I40" s="221">
        <v>0.0</v>
      </c>
      <c r="J40" s="221">
        <v>2.0</v>
      </c>
      <c r="K40" s="2" t="s">
        <v>92</v>
      </c>
      <c r="L40" s="2" t="s">
        <v>667</v>
      </c>
      <c r="M40" s="222"/>
      <c r="N40" s="221">
        <v>2.0</v>
      </c>
      <c r="O40" s="221">
        <v>2.0</v>
      </c>
      <c r="P40" s="2" t="s">
        <v>92</v>
      </c>
      <c r="Q40" s="2" t="s">
        <v>667</v>
      </c>
      <c r="R40" s="222"/>
      <c r="S40" s="221">
        <v>0.0</v>
      </c>
      <c r="T40" s="221">
        <v>2.0</v>
      </c>
      <c r="U40" s="167" t="s">
        <v>672</v>
      </c>
      <c r="V40" s="167" t="s">
        <v>673</v>
      </c>
      <c r="W40" s="222"/>
      <c r="X40" s="221">
        <v>2.0</v>
      </c>
      <c r="Y40" s="221">
        <v>2.0</v>
      </c>
      <c r="Z40" s="223">
        <v>0.0</v>
      </c>
      <c r="AA40" s="223">
        <v>0.0</v>
      </c>
      <c r="AB40" s="223">
        <v>0.0</v>
      </c>
      <c r="AC40" s="223">
        <v>0.0</v>
      </c>
      <c r="AD40" s="224">
        <v>1.0</v>
      </c>
      <c r="AE40" s="174">
        <f t="shared" si="1"/>
        <v>12</v>
      </c>
      <c r="AF40" s="225">
        <f t="shared" si="2"/>
        <v>2.5</v>
      </c>
    </row>
    <row r="41">
      <c r="A41" s="39">
        <v>38.0</v>
      </c>
      <c r="B41" s="105" t="s">
        <v>90</v>
      </c>
      <c r="C41" s="68"/>
      <c r="D41" s="70" t="s">
        <v>275</v>
      </c>
      <c r="E41" s="74" t="s">
        <v>277</v>
      </c>
      <c r="F41" s="218" t="s">
        <v>92</v>
      </c>
      <c r="G41" s="2" t="s">
        <v>667</v>
      </c>
      <c r="H41" s="222"/>
      <c r="I41" s="221">
        <v>2.0</v>
      </c>
      <c r="J41" s="221">
        <v>2.0</v>
      </c>
      <c r="K41" s="167" t="s">
        <v>672</v>
      </c>
      <c r="L41" s="167" t="s">
        <v>673</v>
      </c>
      <c r="M41" s="222"/>
      <c r="N41" s="221">
        <v>2.0</v>
      </c>
      <c r="O41" s="221">
        <v>2.0</v>
      </c>
      <c r="P41" s="2" t="s">
        <v>92</v>
      </c>
      <c r="Q41" s="2" t="s">
        <v>667</v>
      </c>
      <c r="R41" s="222"/>
      <c r="S41" s="221">
        <v>2.0</v>
      </c>
      <c r="T41" s="221">
        <v>2.0</v>
      </c>
      <c r="U41" s="2" t="s">
        <v>92</v>
      </c>
      <c r="V41" s="2" t="s">
        <v>667</v>
      </c>
      <c r="W41" s="222"/>
      <c r="X41" s="221">
        <v>0.0</v>
      </c>
      <c r="Y41" s="221">
        <v>0.0</v>
      </c>
      <c r="Z41" s="223">
        <v>0.0</v>
      </c>
      <c r="AA41" s="223">
        <v>0.0</v>
      </c>
      <c r="AB41" s="223">
        <v>0.0</v>
      </c>
      <c r="AC41" s="223">
        <v>0.0</v>
      </c>
      <c r="AD41" s="224">
        <v>1.0</v>
      </c>
      <c r="AE41" s="174">
        <f t="shared" si="1"/>
        <v>12</v>
      </c>
      <c r="AF41" s="225">
        <f t="shared" si="2"/>
        <v>2.5</v>
      </c>
    </row>
    <row r="42">
      <c r="A42" s="216">
        <v>39.0</v>
      </c>
      <c r="B42" s="62" t="s">
        <v>90</v>
      </c>
      <c r="C42" s="59"/>
      <c r="D42" s="43" t="s">
        <v>281</v>
      </c>
      <c r="E42" s="43" t="s">
        <v>282</v>
      </c>
      <c r="F42" s="218" t="s">
        <v>92</v>
      </c>
      <c r="G42" s="2" t="s">
        <v>667</v>
      </c>
      <c r="H42" s="222"/>
      <c r="I42" s="221">
        <v>2.0</v>
      </c>
      <c r="J42" s="221">
        <v>2.0</v>
      </c>
      <c r="K42" s="2" t="s">
        <v>92</v>
      </c>
      <c r="L42" s="2" t="s">
        <v>667</v>
      </c>
      <c r="M42" s="222"/>
      <c r="N42" s="221">
        <v>2.0</v>
      </c>
      <c r="O42" s="221">
        <v>2.0</v>
      </c>
      <c r="P42" s="2" t="s">
        <v>92</v>
      </c>
      <c r="Q42" s="2" t="s">
        <v>667</v>
      </c>
      <c r="R42" s="222"/>
      <c r="S42" s="221">
        <v>2.0</v>
      </c>
      <c r="T42" s="221">
        <v>2.0</v>
      </c>
      <c r="U42" s="2" t="s">
        <v>92</v>
      </c>
      <c r="V42" s="2" t="s">
        <v>667</v>
      </c>
      <c r="W42" s="222"/>
      <c r="X42" s="221">
        <v>2.0</v>
      </c>
      <c r="Y42" s="221">
        <v>0.0</v>
      </c>
      <c r="Z42" s="223">
        <v>0.0</v>
      </c>
      <c r="AA42" s="223">
        <v>0.0</v>
      </c>
      <c r="AB42" s="223">
        <v>0.0</v>
      </c>
      <c r="AC42" s="223">
        <v>0.0</v>
      </c>
      <c r="AD42" s="224">
        <v>0.0</v>
      </c>
      <c r="AE42" s="174">
        <f t="shared" si="1"/>
        <v>14</v>
      </c>
      <c r="AF42" s="225">
        <f t="shared" si="2"/>
        <v>0.5</v>
      </c>
    </row>
    <row r="43">
      <c r="A43" s="39">
        <v>40.0</v>
      </c>
      <c r="B43" s="117" t="s">
        <v>90</v>
      </c>
      <c r="C43" s="113"/>
      <c r="D43" s="115" t="s">
        <v>289</v>
      </c>
      <c r="E43" s="115" t="s">
        <v>246</v>
      </c>
      <c r="F43" s="218" t="s">
        <v>92</v>
      </c>
      <c r="G43" s="2" t="s">
        <v>667</v>
      </c>
      <c r="H43" s="222"/>
      <c r="I43" s="221">
        <v>2.0</v>
      </c>
      <c r="J43" s="221">
        <v>0.5</v>
      </c>
      <c r="K43" s="2" t="s">
        <v>92</v>
      </c>
      <c r="L43" s="2" t="s">
        <v>667</v>
      </c>
      <c r="M43" s="222"/>
      <c r="N43" s="221">
        <v>2.0</v>
      </c>
      <c r="O43" s="221">
        <v>1.0</v>
      </c>
      <c r="P43" s="2" t="s">
        <v>92</v>
      </c>
      <c r="Q43" s="2" t="s">
        <v>667</v>
      </c>
      <c r="R43" s="222"/>
      <c r="S43" s="221">
        <v>0.0</v>
      </c>
      <c r="T43" s="221">
        <v>1.0</v>
      </c>
      <c r="U43" s="167" t="s">
        <v>672</v>
      </c>
      <c r="V43" s="167" t="s">
        <v>673</v>
      </c>
      <c r="W43" s="222"/>
      <c r="X43" s="221">
        <v>0.0</v>
      </c>
      <c r="Y43" s="221">
        <v>0.0</v>
      </c>
      <c r="Z43" s="223">
        <v>0.0</v>
      </c>
      <c r="AA43" s="223">
        <v>0.0</v>
      </c>
      <c r="AB43" s="223">
        <v>0.0</v>
      </c>
      <c r="AC43" s="223">
        <v>0.0</v>
      </c>
      <c r="AD43" s="224">
        <v>1.0</v>
      </c>
      <c r="AE43" s="174">
        <f t="shared" si="1"/>
        <v>6.5</v>
      </c>
      <c r="AF43" s="225">
        <f t="shared" si="2"/>
        <v>8</v>
      </c>
    </row>
    <row r="44">
      <c r="A44" s="216">
        <v>41.0</v>
      </c>
      <c r="B44" s="62" t="s">
        <v>90</v>
      </c>
      <c r="C44" s="59"/>
      <c r="D44" s="46" t="s">
        <v>294</v>
      </c>
      <c r="E44" s="46" t="s">
        <v>295</v>
      </c>
      <c r="F44" s="218" t="s">
        <v>92</v>
      </c>
      <c r="G44" s="2" t="s">
        <v>667</v>
      </c>
      <c r="H44" s="222"/>
      <c r="I44" s="221">
        <v>2.0</v>
      </c>
      <c r="J44" s="221">
        <v>2.0</v>
      </c>
      <c r="K44" s="2" t="s">
        <v>92</v>
      </c>
      <c r="L44" s="2" t="s">
        <v>667</v>
      </c>
      <c r="M44" s="222"/>
      <c r="N44" s="221">
        <v>2.0</v>
      </c>
      <c r="O44" s="221">
        <v>2.0</v>
      </c>
      <c r="P44" s="2" t="s">
        <v>92</v>
      </c>
      <c r="Q44" s="2" t="s">
        <v>667</v>
      </c>
      <c r="R44" s="222"/>
      <c r="S44" s="221">
        <v>2.0</v>
      </c>
      <c r="T44" s="221">
        <v>2.0</v>
      </c>
      <c r="U44" s="2" t="s">
        <v>92</v>
      </c>
      <c r="V44" s="2" t="s">
        <v>667</v>
      </c>
      <c r="W44" s="222"/>
      <c r="X44" s="221">
        <v>2.0</v>
      </c>
      <c r="Y44" s="221">
        <v>2.0</v>
      </c>
      <c r="Z44" s="223">
        <v>0.0</v>
      </c>
      <c r="AA44" s="223">
        <v>0.0</v>
      </c>
      <c r="AB44" s="223">
        <v>0.0</v>
      </c>
      <c r="AC44" s="223">
        <v>0.0</v>
      </c>
      <c r="AD44" s="224">
        <v>0.0</v>
      </c>
      <c r="AE44" s="174">
        <f t="shared" si="1"/>
        <v>16</v>
      </c>
      <c r="AF44" s="225">
        <f t="shared" si="2"/>
        <v>-1.5</v>
      </c>
    </row>
    <row r="45">
      <c r="A45" s="39">
        <v>42.0</v>
      </c>
      <c r="B45" s="62" t="s">
        <v>90</v>
      </c>
      <c r="C45" s="59"/>
      <c r="D45" s="36" t="s">
        <v>304</v>
      </c>
      <c r="E45" s="36" t="s">
        <v>305</v>
      </c>
      <c r="F45" s="218" t="s">
        <v>92</v>
      </c>
      <c r="G45" s="2" t="s">
        <v>667</v>
      </c>
      <c r="H45" s="221" t="s">
        <v>724</v>
      </c>
      <c r="I45" s="221">
        <v>2.0</v>
      </c>
      <c r="J45" s="221">
        <v>2.0</v>
      </c>
      <c r="K45" s="2" t="s">
        <v>92</v>
      </c>
      <c r="L45" s="2" t="s">
        <v>667</v>
      </c>
      <c r="M45" s="222"/>
      <c r="N45" s="221">
        <v>2.0</v>
      </c>
      <c r="O45" s="221">
        <v>2.0</v>
      </c>
      <c r="P45" s="2" t="s">
        <v>92</v>
      </c>
      <c r="Q45" s="2" t="s">
        <v>667</v>
      </c>
      <c r="R45" s="222"/>
      <c r="S45" s="221">
        <v>2.0</v>
      </c>
      <c r="T45" s="221">
        <v>2.0</v>
      </c>
      <c r="U45" s="2" t="s">
        <v>92</v>
      </c>
      <c r="V45" s="2" t="s">
        <v>667</v>
      </c>
      <c r="W45" s="222"/>
      <c r="X45" s="221">
        <v>2.0</v>
      </c>
      <c r="Y45" s="221">
        <v>2.0</v>
      </c>
      <c r="Z45" s="223">
        <v>0.0</v>
      </c>
      <c r="AA45" s="223">
        <v>0.0</v>
      </c>
      <c r="AB45" s="223">
        <v>0.0</v>
      </c>
      <c r="AC45" s="223">
        <v>0.0</v>
      </c>
      <c r="AD45" s="224">
        <v>0.0</v>
      </c>
      <c r="AE45" s="174">
        <f t="shared" si="1"/>
        <v>16</v>
      </c>
      <c r="AF45" s="225">
        <f t="shared" si="2"/>
        <v>-1.5</v>
      </c>
    </row>
    <row r="46">
      <c r="A46" s="216">
        <v>43.0</v>
      </c>
      <c r="B46" s="62" t="s">
        <v>90</v>
      </c>
      <c r="C46" s="55" t="s">
        <v>99</v>
      </c>
      <c r="D46" s="46" t="s">
        <v>313</v>
      </c>
      <c r="E46" s="46" t="s">
        <v>315</v>
      </c>
      <c r="F46" s="218" t="s">
        <v>92</v>
      </c>
      <c r="G46" s="2" t="s">
        <v>667</v>
      </c>
      <c r="H46" s="222"/>
      <c r="I46" s="221">
        <v>2.0</v>
      </c>
      <c r="J46" s="221">
        <v>2.0</v>
      </c>
      <c r="K46" s="2" t="s">
        <v>92</v>
      </c>
      <c r="L46" s="2" t="s">
        <v>667</v>
      </c>
      <c r="M46" s="222"/>
      <c r="N46" s="221">
        <v>2.0</v>
      </c>
      <c r="O46" s="221">
        <v>2.0</v>
      </c>
      <c r="P46" s="2" t="s">
        <v>92</v>
      </c>
      <c r="Q46" s="2" t="s">
        <v>667</v>
      </c>
      <c r="R46" s="222"/>
      <c r="S46" s="221">
        <v>2.0</v>
      </c>
      <c r="T46" s="221">
        <v>2.0</v>
      </c>
      <c r="U46" s="2" t="s">
        <v>92</v>
      </c>
      <c r="V46" s="2" t="s">
        <v>667</v>
      </c>
      <c r="W46" s="222"/>
      <c r="X46" s="221">
        <v>2.0</v>
      </c>
      <c r="Y46" s="221">
        <v>2.0</v>
      </c>
      <c r="Z46" s="223">
        <v>0.0</v>
      </c>
      <c r="AA46" s="223">
        <v>0.0</v>
      </c>
      <c r="AB46" s="223">
        <v>0.0</v>
      </c>
      <c r="AC46" s="223">
        <v>0.0</v>
      </c>
      <c r="AD46" s="224">
        <v>0.0</v>
      </c>
      <c r="AE46" s="174">
        <f t="shared" si="1"/>
        <v>16</v>
      </c>
      <c r="AF46" s="225">
        <f t="shared" si="2"/>
        <v>-1.5</v>
      </c>
    </row>
    <row r="47">
      <c r="A47" s="39">
        <v>44.0</v>
      </c>
      <c r="B47" s="62" t="s">
        <v>90</v>
      </c>
      <c r="C47" s="59"/>
      <c r="D47" s="46" t="s">
        <v>328</v>
      </c>
      <c r="E47" s="46" t="s">
        <v>321</v>
      </c>
      <c r="F47" s="218" t="s">
        <v>92</v>
      </c>
      <c r="G47" s="2" t="s">
        <v>667</v>
      </c>
      <c r="H47" s="222"/>
      <c r="I47" s="221">
        <v>2.0</v>
      </c>
      <c r="J47" s="221">
        <v>2.0</v>
      </c>
      <c r="K47" s="2" t="s">
        <v>92</v>
      </c>
      <c r="L47" s="2" t="s">
        <v>667</v>
      </c>
      <c r="M47" s="221" t="s">
        <v>730</v>
      </c>
      <c r="N47" s="221">
        <v>2.0</v>
      </c>
      <c r="O47" s="221">
        <v>0.0</v>
      </c>
      <c r="P47" s="167" t="s">
        <v>672</v>
      </c>
      <c r="Q47" s="167" t="s">
        <v>673</v>
      </c>
      <c r="R47" s="222"/>
      <c r="S47" s="221">
        <v>2.0</v>
      </c>
      <c r="T47" s="221">
        <v>0.0</v>
      </c>
      <c r="U47" s="2" t="s">
        <v>92</v>
      </c>
      <c r="V47" s="2" t="s">
        <v>667</v>
      </c>
      <c r="W47" s="222"/>
      <c r="X47" s="221">
        <v>2.0</v>
      </c>
      <c r="Y47" s="221">
        <v>2.0</v>
      </c>
      <c r="Z47" s="223">
        <v>0.0</v>
      </c>
      <c r="AA47" s="223">
        <v>0.0</v>
      </c>
      <c r="AB47" s="223">
        <v>0.0</v>
      </c>
      <c r="AC47" s="223">
        <v>0.0</v>
      </c>
      <c r="AD47" s="224">
        <v>1.0</v>
      </c>
      <c r="AE47" s="174">
        <f t="shared" si="1"/>
        <v>12</v>
      </c>
      <c r="AF47" s="225">
        <f t="shared" si="2"/>
        <v>2.5</v>
      </c>
    </row>
    <row r="48">
      <c r="A48" s="216">
        <v>45.0</v>
      </c>
      <c r="B48" s="62" t="s">
        <v>90</v>
      </c>
      <c r="C48" s="59"/>
      <c r="D48" s="46" t="s">
        <v>337</v>
      </c>
      <c r="E48" s="46" t="s">
        <v>488</v>
      </c>
      <c r="F48" s="218" t="s">
        <v>92</v>
      </c>
      <c r="G48" s="2" t="s">
        <v>667</v>
      </c>
      <c r="H48" s="222"/>
      <c r="I48" s="221">
        <v>2.0</v>
      </c>
      <c r="J48" s="221">
        <v>2.0</v>
      </c>
      <c r="K48" s="2" t="s">
        <v>92</v>
      </c>
      <c r="L48" s="2" t="s">
        <v>667</v>
      </c>
      <c r="M48" s="222"/>
      <c r="N48" s="221">
        <v>2.0</v>
      </c>
      <c r="O48" s="221">
        <v>2.0</v>
      </c>
      <c r="P48" s="2" t="s">
        <v>92</v>
      </c>
      <c r="Q48" s="2" t="s">
        <v>667</v>
      </c>
      <c r="R48" s="222"/>
      <c r="S48" s="221">
        <v>2.0</v>
      </c>
      <c r="T48" s="221">
        <v>2.0</v>
      </c>
      <c r="U48" s="167" t="s">
        <v>672</v>
      </c>
      <c r="V48" s="167" t="s">
        <v>673</v>
      </c>
      <c r="W48" s="222"/>
      <c r="X48" s="221">
        <v>2.0</v>
      </c>
      <c r="Y48" s="221">
        <v>2.0</v>
      </c>
      <c r="Z48" s="223">
        <v>0.0</v>
      </c>
      <c r="AA48" s="223">
        <v>0.0</v>
      </c>
      <c r="AB48" s="223">
        <v>0.0</v>
      </c>
      <c r="AC48" s="223">
        <v>0.0</v>
      </c>
      <c r="AD48" s="224">
        <v>1.0</v>
      </c>
      <c r="AE48" s="174">
        <f t="shared" si="1"/>
        <v>16</v>
      </c>
      <c r="AF48" s="225">
        <f t="shared" si="2"/>
        <v>-1.5</v>
      </c>
    </row>
    <row r="49">
      <c r="A49" s="39">
        <v>46.0</v>
      </c>
      <c r="B49" s="62" t="s">
        <v>90</v>
      </c>
      <c r="C49" s="55" t="s">
        <v>99</v>
      </c>
      <c r="D49" s="46" t="s">
        <v>343</v>
      </c>
      <c r="E49" s="46" t="s">
        <v>166</v>
      </c>
      <c r="F49" s="218" t="s">
        <v>92</v>
      </c>
      <c r="G49" s="2" t="s">
        <v>667</v>
      </c>
      <c r="H49" s="222"/>
      <c r="I49" s="221">
        <v>2.0</v>
      </c>
      <c r="J49" s="221">
        <v>2.0</v>
      </c>
      <c r="K49" s="2" t="s">
        <v>92</v>
      </c>
      <c r="L49" s="2" t="s">
        <v>667</v>
      </c>
      <c r="M49" s="222"/>
      <c r="N49" s="221">
        <v>2.0</v>
      </c>
      <c r="O49" s="221">
        <v>2.0</v>
      </c>
      <c r="P49" s="2" t="s">
        <v>92</v>
      </c>
      <c r="Q49" s="2" t="s">
        <v>667</v>
      </c>
      <c r="R49" s="222"/>
      <c r="S49" s="221">
        <v>0.0</v>
      </c>
      <c r="T49" s="221">
        <v>2.0</v>
      </c>
      <c r="U49" s="167" t="s">
        <v>672</v>
      </c>
      <c r="V49" s="167" t="s">
        <v>673</v>
      </c>
      <c r="W49" s="222"/>
      <c r="X49" s="221">
        <v>0.0</v>
      </c>
      <c r="Y49" s="221">
        <v>0.0</v>
      </c>
      <c r="Z49" s="223">
        <v>0.0</v>
      </c>
      <c r="AA49" s="223">
        <v>0.0</v>
      </c>
      <c r="AB49" s="223">
        <v>0.0</v>
      </c>
      <c r="AC49" s="223">
        <v>0.0</v>
      </c>
      <c r="AD49" s="224">
        <v>1.0</v>
      </c>
      <c r="AE49" s="174">
        <f t="shared" si="1"/>
        <v>10</v>
      </c>
      <c r="AF49" s="225">
        <f t="shared" si="2"/>
        <v>4.5</v>
      </c>
    </row>
    <row r="50">
      <c r="A50" s="216">
        <v>47.0</v>
      </c>
      <c r="B50" s="62" t="s">
        <v>90</v>
      </c>
      <c r="C50" s="59"/>
      <c r="D50" s="46" t="s">
        <v>352</v>
      </c>
      <c r="E50" s="46" t="s">
        <v>353</v>
      </c>
      <c r="F50" s="218" t="s">
        <v>92</v>
      </c>
      <c r="G50" s="2" t="s">
        <v>667</v>
      </c>
      <c r="H50" s="222"/>
      <c r="I50" s="221">
        <v>1.5</v>
      </c>
      <c r="J50" s="221">
        <v>2.0</v>
      </c>
      <c r="K50" s="2" t="s">
        <v>92</v>
      </c>
      <c r="L50" s="2" t="s">
        <v>667</v>
      </c>
      <c r="M50" s="222"/>
      <c r="N50" s="221">
        <v>0.0</v>
      </c>
      <c r="O50" s="221">
        <v>2.0</v>
      </c>
      <c r="P50" s="2" t="s">
        <v>92</v>
      </c>
      <c r="Q50" s="2" t="s">
        <v>667</v>
      </c>
      <c r="R50" s="222"/>
      <c r="S50" s="221">
        <v>2.0</v>
      </c>
      <c r="T50" s="221">
        <v>2.0</v>
      </c>
      <c r="U50" s="2" t="s">
        <v>92</v>
      </c>
      <c r="V50" s="2" t="s">
        <v>667</v>
      </c>
      <c r="W50" s="222"/>
      <c r="X50" s="221">
        <v>2.0</v>
      </c>
      <c r="Y50" s="221">
        <v>2.0</v>
      </c>
      <c r="Z50" s="223">
        <v>0.0</v>
      </c>
      <c r="AA50" s="223">
        <v>0.0</v>
      </c>
      <c r="AB50" s="223">
        <v>0.0</v>
      </c>
      <c r="AC50" s="223">
        <v>0.0</v>
      </c>
      <c r="AD50" s="224">
        <v>0.0</v>
      </c>
      <c r="AE50" s="174">
        <f t="shared" si="1"/>
        <v>13.5</v>
      </c>
      <c r="AF50" s="225">
        <f t="shared" si="2"/>
        <v>1</v>
      </c>
    </row>
    <row r="51">
      <c r="A51" s="39">
        <v>48.0</v>
      </c>
      <c r="B51" s="62" t="s">
        <v>90</v>
      </c>
      <c r="C51" s="59"/>
      <c r="D51" s="36" t="s">
        <v>363</v>
      </c>
      <c r="E51" s="36" t="s">
        <v>364</v>
      </c>
      <c r="F51" s="218" t="s">
        <v>92</v>
      </c>
      <c r="G51" s="2" t="s">
        <v>667</v>
      </c>
      <c r="H51" s="222"/>
      <c r="I51" s="221">
        <v>2.0</v>
      </c>
      <c r="J51" s="221">
        <v>2.0</v>
      </c>
      <c r="K51" s="2" t="s">
        <v>92</v>
      </c>
      <c r="L51" s="2" t="s">
        <v>667</v>
      </c>
      <c r="M51" s="222"/>
      <c r="N51" s="221">
        <v>2.0</v>
      </c>
      <c r="O51" s="221">
        <v>2.0</v>
      </c>
      <c r="P51" s="167" t="s">
        <v>672</v>
      </c>
      <c r="Q51" s="167" t="s">
        <v>684</v>
      </c>
      <c r="R51" s="221" t="s">
        <v>722</v>
      </c>
      <c r="S51" s="221">
        <v>0.0</v>
      </c>
      <c r="T51" s="221">
        <v>0.0</v>
      </c>
      <c r="U51" s="167" t="s">
        <v>672</v>
      </c>
      <c r="V51" s="167" t="s">
        <v>673</v>
      </c>
      <c r="W51" s="222"/>
      <c r="X51" s="221">
        <v>2.0</v>
      </c>
      <c r="Y51" s="221">
        <v>0.0</v>
      </c>
      <c r="Z51" s="223">
        <v>0.0</v>
      </c>
      <c r="AA51" s="223">
        <v>0.0</v>
      </c>
      <c r="AB51" s="223">
        <v>0.0</v>
      </c>
      <c r="AC51" s="223">
        <v>0.0</v>
      </c>
      <c r="AD51" s="224">
        <v>2.0</v>
      </c>
      <c r="AE51" s="174">
        <f t="shared" si="1"/>
        <v>10</v>
      </c>
      <c r="AF51" s="225">
        <f t="shared" si="2"/>
        <v>4.5</v>
      </c>
    </row>
    <row r="52">
      <c r="A52" s="216">
        <v>49.0</v>
      </c>
      <c r="B52" s="62" t="s">
        <v>90</v>
      </c>
      <c r="C52" s="59"/>
      <c r="D52" s="46" t="s">
        <v>372</v>
      </c>
      <c r="E52" s="46" t="s">
        <v>373</v>
      </c>
      <c r="F52" s="218" t="s">
        <v>92</v>
      </c>
      <c r="G52" s="2" t="s">
        <v>667</v>
      </c>
      <c r="H52" s="222"/>
      <c r="I52" s="221">
        <v>2.0</v>
      </c>
      <c r="J52" s="221">
        <v>2.0</v>
      </c>
      <c r="K52" s="2" t="s">
        <v>92</v>
      </c>
      <c r="L52" s="2" t="s">
        <v>667</v>
      </c>
      <c r="M52" s="222"/>
      <c r="N52" s="221">
        <v>2.0</v>
      </c>
      <c r="O52" s="221">
        <v>2.0</v>
      </c>
      <c r="P52" s="2" t="s">
        <v>92</v>
      </c>
      <c r="Q52" s="2" t="s">
        <v>667</v>
      </c>
      <c r="R52" s="222"/>
      <c r="S52" s="221">
        <v>2.0</v>
      </c>
      <c r="T52" s="221">
        <v>2.0</v>
      </c>
      <c r="U52" s="167" t="s">
        <v>672</v>
      </c>
      <c r="V52" s="167" t="s">
        <v>673</v>
      </c>
      <c r="W52" s="222"/>
      <c r="X52" s="221">
        <v>0.0</v>
      </c>
      <c r="Y52" s="221">
        <v>2.0</v>
      </c>
      <c r="Z52" s="223">
        <v>0.0</v>
      </c>
      <c r="AA52" s="223">
        <v>0.0</v>
      </c>
      <c r="AB52" s="223">
        <v>0.0</v>
      </c>
      <c r="AC52" s="223">
        <v>0.0</v>
      </c>
      <c r="AD52" s="224">
        <v>1.0</v>
      </c>
      <c r="AE52" s="174">
        <f t="shared" si="1"/>
        <v>14</v>
      </c>
      <c r="AF52" s="225">
        <f t="shared" si="2"/>
        <v>0.5</v>
      </c>
    </row>
    <row r="53">
      <c r="A53" s="39">
        <v>50.0</v>
      </c>
      <c r="B53" s="62" t="s">
        <v>90</v>
      </c>
      <c r="C53" s="59"/>
      <c r="D53" s="46" t="s">
        <v>378</v>
      </c>
      <c r="E53" s="46" t="s">
        <v>380</v>
      </c>
      <c r="F53" s="218" t="s">
        <v>92</v>
      </c>
      <c r="G53" s="2" t="s">
        <v>667</v>
      </c>
      <c r="H53" s="222"/>
      <c r="I53" s="221">
        <v>2.0</v>
      </c>
      <c r="J53" s="221">
        <v>2.0</v>
      </c>
      <c r="K53" s="2" t="s">
        <v>92</v>
      </c>
      <c r="L53" s="2" t="s">
        <v>667</v>
      </c>
      <c r="M53" s="222"/>
      <c r="N53" s="221">
        <v>2.0</v>
      </c>
      <c r="O53" s="221">
        <v>2.0</v>
      </c>
      <c r="P53" s="2" t="s">
        <v>92</v>
      </c>
      <c r="Q53" s="2" t="s">
        <v>667</v>
      </c>
      <c r="R53" s="222"/>
      <c r="S53" s="221">
        <v>2.0</v>
      </c>
      <c r="T53" s="221">
        <v>2.0</v>
      </c>
      <c r="U53" s="2" t="s">
        <v>92</v>
      </c>
      <c r="V53" s="2" t="s">
        <v>667</v>
      </c>
      <c r="W53" s="222"/>
      <c r="X53" s="221">
        <v>2.0</v>
      </c>
      <c r="Y53" s="221">
        <v>2.0</v>
      </c>
      <c r="Z53" s="223">
        <v>0.0</v>
      </c>
      <c r="AA53" s="223">
        <v>0.0</v>
      </c>
      <c r="AB53" s="223">
        <v>0.0</v>
      </c>
      <c r="AC53" s="223">
        <v>0.0</v>
      </c>
      <c r="AD53" s="224">
        <v>0.0</v>
      </c>
      <c r="AE53" s="174">
        <f t="shared" si="1"/>
        <v>16</v>
      </c>
      <c r="AF53" s="225">
        <f t="shared" si="2"/>
        <v>-1.5</v>
      </c>
    </row>
    <row r="54">
      <c r="A54" s="216">
        <v>51.0</v>
      </c>
      <c r="B54" s="62" t="s">
        <v>90</v>
      </c>
      <c r="C54" s="59"/>
      <c r="D54" s="46" t="s">
        <v>382</v>
      </c>
      <c r="E54" s="46" t="s">
        <v>527</v>
      </c>
      <c r="F54" s="218" t="s">
        <v>92</v>
      </c>
      <c r="G54" s="2" t="s">
        <v>667</v>
      </c>
      <c r="H54" s="222"/>
      <c r="I54" s="221">
        <v>0.0</v>
      </c>
      <c r="J54" s="221">
        <v>2.0</v>
      </c>
      <c r="K54" s="2" t="s">
        <v>92</v>
      </c>
      <c r="L54" s="2" t="s">
        <v>667</v>
      </c>
      <c r="M54" s="222"/>
      <c r="N54" s="221">
        <v>2.0</v>
      </c>
      <c r="O54" s="221">
        <v>2.0</v>
      </c>
      <c r="P54" s="167" t="s">
        <v>672</v>
      </c>
      <c r="Q54" s="167" t="s">
        <v>673</v>
      </c>
      <c r="R54" s="222"/>
      <c r="S54" s="221">
        <v>2.0</v>
      </c>
      <c r="T54" s="221">
        <v>2.0</v>
      </c>
      <c r="U54" s="2" t="s">
        <v>92</v>
      </c>
      <c r="V54" s="2" t="s">
        <v>667</v>
      </c>
      <c r="W54" s="222"/>
      <c r="X54" s="221">
        <v>2.0</v>
      </c>
      <c r="Y54" s="221">
        <v>2.0</v>
      </c>
      <c r="Z54" s="223">
        <v>0.0</v>
      </c>
      <c r="AA54" s="223">
        <v>0.0</v>
      </c>
      <c r="AB54" s="223">
        <v>0.0</v>
      </c>
      <c r="AC54" s="223">
        <v>0.0</v>
      </c>
      <c r="AD54" s="224">
        <v>1.0</v>
      </c>
      <c r="AE54" s="174">
        <f t="shared" si="1"/>
        <v>14</v>
      </c>
      <c r="AF54" s="225">
        <f t="shared" si="2"/>
        <v>0.5</v>
      </c>
    </row>
    <row r="55">
      <c r="A55" s="39">
        <v>52.0</v>
      </c>
      <c r="B55" s="62" t="s">
        <v>90</v>
      </c>
      <c r="C55" s="59"/>
      <c r="D55" s="29" t="s">
        <v>386</v>
      </c>
      <c r="E55" s="29" t="s">
        <v>387</v>
      </c>
      <c r="F55" s="218" t="s">
        <v>92</v>
      </c>
      <c r="G55" s="2" t="s">
        <v>667</v>
      </c>
      <c r="H55" s="222"/>
      <c r="I55" s="221">
        <v>0.0</v>
      </c>
      <c r="J55" s="221">
        <v>2.0</v>
      </c>
      <c r="K55" s="2" t="s">
        <v>92</v>
      </c>
      <c r="L55" s="2" t="s">
        <v>667</v>
      </c>
      <c r="M55" s="222"/>
      <c r="N55" s="221">
        <v>2.0</v>
      </c>
      <c r="O55" s="221">
        <v>2.0</v>
      </c>
      <c r="P55" s="2" t="s">
        <v>92</v>
      </c>
      <c r="Q55" s="2" t="s">
        <v>667</v>
      </c>
      <c r="R55" s="222"/>
      <c r="S55" s="221">
        <v>2.0</v>
      </c>
      <c r="T55" s="221">
        <v>2.0</v>
      </c>
      <c r="U55" s="2" t="s">
        <v>92</v>
      </c>
      <c r="V55" s="2" t="s">
        <v>667</v>
      </c>
      <c r="W55" s="222"/>
      <c r="X55" s="221">
        <v>2.0</v>
      </c>
      <c r="Y55" s="221">
        <v>0.0</v>
      </c>
      <c r="Z55" s="223">
        <v>0.0</v>
      </c>
      <c r="AA55" s="223">
        <v>0.0</v>
      </c>
      <c r="AB55" s="223">
        <v>0.0</v>
      </c>
      <c r="AC55" s="223">
        <v>0.0</v>
      </c>
      <c r="AD55" s="224">
        <v>0.0</v>
      </c>
      <c r="AE55" s="174">
        <f t="shared" si="1"/>
        <v>12</v>
      </c>
      <c r="AF55" s="225">
        <f t="shared" si="2"/>
        <v>2.5</v>
      </c>
    </row>
    <row r="56">
      <c r="A56" s="216">
        <v>53.0</v>
      </c>
      <c r="B56" s="121" t="s">
        <v>90</v>
      </c>
      <c r="C56" s="57"/>
      <c r="D56" s="46" t="s">
        <v>390</v>
      </c>
      <c r="E56" s="9" t="s">
        <v>391</v>
      </c>
      <c r="F56" s="218" t="s">
        <v>92</v>
      </c>
      <c r="G56" s="2" t="s">
        <v>667</v>
      </c>
      <c r="H56" s="222"/>
      <c r="I56" s="221">
        <v>2.0</v>
      </c>
      <c r="J56" s="221">
        <v>2.0</v>
      </c>
      <c r="K56" s="2" t="s">
        <v>92</v>
      </c>
      <c r="L56" s="2" t="s">
        <v>667</v>
      </c>
      <c r="M56" s="222"/>
      <c r="N56" s="221">
        <v>2.0</v>
      </c>
      <c r="O56" s="221">
        <v>2.0</v>
      </c>
      <c r="P56" s="2" t="s">
        <v>92</v>
      </c>
      <c r="Q56" s="2" t="s">
        <v>667</v>
      </c>
      <c r="R56" s="222"/>
      <c r="S56" s="221">
        <v>1.5</v>
      </c>
      <c r="T56" s="221">
        <v>2.0</v>
      </c>
      <c r="U56" s="2" t="s">
        <v>92</v>
      </c>
      <c r="V56" s="2" t="s">
        <v>667</v>
      </c>
      <c r="W56" s="221" t="s">
        <v>731</v>
      </c>
      <c r="X56" s="221">
        <v>2.0</v>
      </c>
      <c r="Y56" s="221">
        <v>2.0</v>
      </c>
      <c r="Z56" s="223">
        <v>0.0</v>
      </c>
      <c r="AA56" s="223">
        <v>0.0</v>
      </c>
      <c r="AB56" s="223">
        <v>0.0</v>
      </c>
      <c r="AC56" s="223">
        <v>0.0</v>
      </c>
      <c r="AD56" s="224">
        <v>0.0</v>
      </c>
      <c r="AE56" s="174">
        <f t="shared" si="1"/>
        <v>15.5</v>
      </c>
      <c r="AF56" s="225">
        <f t="shared" si="2"/>
        <v>-1</v>
      </c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16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</sheetData>
  <mergeCells count="7">
    <mergeCell ref="F1:Z1"/>
    <mergeCell ref="I2:J2"/>
    <mergeCell ref="N2:O2"/>
    <mergeCell ref="S2:T2"/>
    <mergeCell ref="X2:Y2"/>
    <mergeCell ref="Z2:AA2"/>
    <mergeCell ref="AB2:AC2"/>
  </mergeCells>
  <dataValidations>
    <dataValidation type="list" allowBlank="1" showErrorMessage="1" sqref="G4:G56 L4:L56 Q4:Q56 V4:V56">
      <formula1>"Online/permission granted,In class,Group Assignment,Absent,Online/Sick,Online/ NO permission ,Public Holiday,In class/Lesson not attended in full,Reported absent"</formula1>
    </dataValidation>
    <dataValidation type="list" allowBlank="1" showErrorMessage="1" sqref="F4:F56 K4:K56 P4:P56 U4:U56">
      <formula1>"Yes,No "</formula1>
    </dataValidation>
    <dataValidation type="list" allowBlank="1" showErrorMessage="1" sqref="AD4:AD56">
      <formula1>"0,1,2,3,4"</formula1>
    </dataValidation>
    <dataValidation type="list" allowBlank="1" showErrorMessage="1" sqref="I4:J56 N4:O56 S4:T56 X4:AC56">
      <formula1>"0,2,1.5,1,0.5"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5.63"/>
    <col customWidth="1" min="2" max="2" width="9.25"/>
    <col customWidth="1" min="3" max="3" width="8.63"/>
    <col customWidth="1" min="5" max="5" width="16.5"/>
    <col customWidth="1" min="7" max="7" width="12.75"/>
    <col customWidth="1" min="8" max="8" width="22.38"/>
    <col customWidth="1" min="13" max="13" width="24.88"/>
    <col customWidth="1" min="18" max="18" width="28.25"/>
    <col customWidth="1" min="23" max="23" width="24.75"/>
  </cols>
  <sheetData>
    <row r="1" ht="21.75" customHeight="1">
      <c r="A1" s="2"/>
      <c r="B1" s="2"/>
      <c r="C1" s="2"/>
      <c r="D1" s="2"/>
      <c r="E1" s="2"/>
      <c r="F1" s="187" t="s">
        <v>640</v>
      </c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188" t="s">
        <v>641</v>
      </c>
      <c r="G2" s="188" t="s">
        <v>732</v>
      </c>
      <c r="H2" s="189"/>
      <c r="I2" s="190" t="s">
        <v>643</v>
      </c>
      <c r="J2" s="191"/>
      <c r="K2" s="192" t="s">
        <v>641</v>
      </c>
      <c r="L2" s="192" t="s">
        <v>733</v>
      </c>
      <c r="M2" s="193"/>
      <c r="N2" s="194" t="s">
        <v>643</v>
      </c>
      <c r="O2" s="191"/>
      <c r="P2" s="195" t="s">
        <v>641</v>
      </c>
      <c r="Q2" s="195" t="s">
        <v>734</v>
      </c>
      <c r="R2" s="196"/>
      <c r="S2" s="197" t="s">
        <v>643</v>
      </c>
      <c r="T2" s="191"/>
      <c r="U2" s="198" t="s">
        <v>641</v>
      </c>
      <c r="V2" s="198" t="s">
        <v>735</v>
      </c>
      <c r="W2" s="199"/>
      <c r="X2" s="200" t="s">
        <v>643</v>
      </c>
      <c r="Y2" s="191"/>
      <c r="Z2" s="201" t="s">
        <v>647</v>
      </c>
      <c r="AA2" s="185"/>
      <c r="AB2" s="201" t="s">
        <v>648</v>
      </c>
      <c r="AC2" s="185"/>
      <c r="AD2" s="31"/>
      <c r="AE2" s="31"/>
      <c r="AF2" s="31"/>
    </row>
    <row r="3">
      <c r="A3" s="202" t="s">
        <v>649</v>
      </c>
      <c r="B3" s="203" t="s">
        <v>650</v>
      </c>
      <c r="C3" s="202" t="s">
        <v>651</v>
      </c>
      <c r="D3" s="202" t="s">
        <v>652</v>
      </c>
      <c r="E3" s="202" t="s">
        <v>7</v>
      </c>
      <c r="F3" s="204" t="s">
        <v>653</v>
      </c>
      <c r="G3" s="205" t="s">
        <v>654</v>
      </c>
      <c r="H3" s="205" t="s">
        <v>655</v>
      </c>
      <c r="I3" s="206" t="s">
        <v>656</v>
      </c>
      <c r="J3" s="206" t="s">
        <v>657</v>
      </c>
      <c r="K3" s="207" t="s">
        <v>658</v>
      </c>
      <c r="L3" s="208" t="s">
        <v>654</v>
      </c>
      <c r="M3" s="208" t="s">
        <v>655</v>
      </c>
      <c r="N3" s="208" t="s">
        <v>656</v>
      </c>
      <c r="O3" s="207" t="s">
        <v>657</v>
      </c>
      <c r="P3" s="209" t="s">
        <v>659</v>
      </c>
      <c r="Q3" s="209" t="s">
        <v>654</v>
      </c>
      <c r="R3" s="210" t="s">
        <v>655</v>
      </c>
      <c r="S3" s="210" t="s">
        <v>656</v>
      </c>
      <c r="T3" s="210" t="s">
        <v>657</v>
      </c>
      <c r="U3" s="211" t="s">
        <v>660</v>
      </c>
      <c r="V3" s="211" t="s">
        <v>654</v>
      </c>
      <c r="W3" s="212" t="s">
        <v>655</v>
      </c>
      <c r="X3" s="211" t="s">
        <v>656</v>
      </c>
      <c r="Y3" s="212" t="s">
        <v>657</v>
      </c>
      <c r="Z3" s="213" t="s">
        <v>661</v>
      </c>
      <c r="AA3" s="213" t="s">
        <v>662</v>
      </c>
      <c r="AB3" s="213" t="s">
        <v>663</v>
      </c>
      <c r="AC3" s="213" t="s">
        <v>662</v>
      </c>
      <c r="AD3" s="214" t="s">
        <v>664</v>
      </c>
      <c r="AE3" s="215" t="s">
        <v>665</v>
      </c>
      <c r="AF3" s="215" t="s">
        <v>666</v>
      </c>
    </row>
    <row r="4">
      <c r="A4" s="216">
        <v>1.0</v>
      </c>
      <c r="B4" s="217" t="s">
        <v>62</v>
      </c>
      <c r="C4" s="28"/>
      <c r="D4" s="17" t="s">
        <v>20</v>
      </c>
      <c r="E4" s="17" t="s">
        <v>37</v>
      </c>
      <c r="F4" s="218" t="s">
        <v>92</v>
      </c>
      <c r="G4" s="219" t="s">
        <v>667</v>
      </c>
      <c r="H4" s="222"/>
      <c r="I4" s="221">
        <v>0.0</v>
      </c>
      <c r="J4" s="221">
        <v>0.0</v>
      </c>
      <c r="K4" s="218" t="s">
        <v>92</v>
      </c>
      <c r="L4" s="219" t="s">
        <v>667</v>
      </c>
      <c r="M4" s="222"/>
      <c r="N4" s="221">
        <v>0.0</v>
      </c>
      <c r="O4" s="221">
        <v>0.0</v>
      </c>
      <c r="P4" s="218" t="s">
        <v>92</v>
      </c>
      <c r="Q4" s="219" t="s">
        <v>667</v>
      </c>
      <c r="R4" s="222"/>
      <c r="S4" s="221">
        <v>0.0</v>
      </c>
      <c r="T4" s="221">
        <v>0.0</v>
      </c>
      <c r="U4" s="218" t="s">
        <v>92</v>
      </c>
      <c r="V4" s="219" t="s">
        <v>667</v>
      </c>
      <c r="W4" s="222"/>
      <c r="X4" s="221">
        <v>0.0</v>
      </c>
      <c r="Y4" s="221">
        <v>0.0</v>
      </c>
      <c r="Z4" s="223">
        <v>0.0</v>
      </c>
      <c r="AA4" s="223">
        <v>0.0</v>
      </c>
      <c r="AB4" s="223">
        <v>0.0</v>
      </c>
      <c r="AC4" s="223">
        <v>0.0</v>
      </c>
      <c r="AD4" s="224">
        <v>0.0</v>
      </c>
      <c r="AE4" s="174">
        <f t="shared" ref="AE4:AE56" si="1">I4+J4+N4+O4+S4+T4+X4+Y4+Z4+AA4+AB4+AC4</f>
        <v>0</v>
      </c>
      <c r="AF4" s="225">
        <f t="shared" ref="AF4:AF56" si="2">14.5-AE4</f>
        <v>14.5</v>
      </c>
    </row>
    <row r="5">
      <c r="A5" s="39">
        <v>2.0</v>
      </c>
      <c r="B5" s="41" t="s">
        <v>90</v>
      </c>
      <c r="C5" s="226"/>
      <c r="D5" s="29" t="s">
        <v>29</v>
      </c>
      <c r="E5" s="29" t="s">
        <v>68</v>
      </c>
      <c r="F5" s="218" t="s">
        <v>92</v>
      </c>
      <c r="G5" s="219" t="s">
        <v>667</v>
      </c>
      <c r="H5" s="222"/>
      <c r="I5" s="221">
        <v>0.0</v>
      </c>
      <c r="J5" s="221">
        <v>0.0</v>
      </c>
      <c r="K5" s="51" t="s">
        <v>92</v>
      </c>
      <c r="L5" s="51" t="s">
        <v>667</v>
      </c>
      <c r="M5" s="222"/>
      <c r="N5" s="221">
        <v>0.0</v>
      </c>
      <c r="O5" s="221">
        <v>0.0</v>
      </c>
      <c r="P5" s="51" t="s">
        <v>92</v>
      </c>
      <c r="Q5" s="51" t="s">
        <v>667</v>
      </c>
      <c r="R5" s="222"/>
      <c r="S5" s="221">
        <v>0.0</v>
      </c>
      <c r="T5" s="221">
        <v>0.0</v>
      </c>
      <c r="U5" s="51" t="s">
        <v>92</v>
      </c>
      <c r="V5" s="51" t="s">
        <v>667</v>
      </c>
      <c r="W5" s="222"/>
      <c r="X5" s="221">
        <v>0.0</v>
      </c>
      <c r="Y5" s="221">
        <v>0.0</v>
      </c>
      <c r="Z5" s="223">
        <v>0.0</v>
      </c>
      <c r="AA5" s="223">
        <v>0.0</v>
      </c>
      <c r="AB5" s="223">
        <v>0.0</v>
      </c>
      <c r="AC5" s="223">
        <v>0.0</v>
      </c>
      <c r="AD5" s="224">
        <v>0.0</v>
      </c>
      <c r="AE5" s="174">
        <f t="shared" si="1"/>
        <v>0</v>
      </c>
      <c r="AF5" s="225">
        <f t="shared" si="2"/>
        <v>14.5</v>
      </c>
    </row>
    <row r="6">
      <c r="A6" s="216">
        <v>3.0</v>
      </c>
      <c r="B6" s="41" t="s">
        <v>90</v>
      </c>
      <c r="C6" s="55" t="s">
        <v>99</v>
      </c>
      <c r="D6" s="43" t="s">
        <v>95</v>
      </c>
      <c r="E6" s="43" t="s">
        <v>35</v>
      </c>
      <c r="F6" s="2" t="s">
        <v>92</v>
      </c>
      <c r="G6" s="2" t="s">
        <v>667</v>
      </c>
      <c r="H6" s="222"/>
      <c r="I6" s="221">
        <v>0.0</v>
      </c>
      <c r="J6" s="221">
        <v>0.0</v>
      </c>
      <c r="K6" s="2" t="s">
        <v>92</v>
      </c>
      <c r="L6" s="2" t="s">
        <v>667</v>
      </c>
      <c r="M6" s="222"/>
      <c r="N6" s="221">
        <v>0.0</v>
      </c>
      <c r="O6" s="221">
        <v>0.0</v>
      </c>
      <c r="P6" s="2" t="s">
        <v>92</v>
      </c>
      <c r="Q6" s="2" t="s">
        <v>667</v>
      </c>
      <c r="R6" s="222"/>
      <c r="S6" s="221">
        <v>0.0</v>
      </c>
      <c r="T6" s="221">
        <v>0.0</v>
      </c>
      <c r="U6" s="2" t="s">
        <v>92</v>
      </c>
      <c r="V6" s="2" t="s">
        <v>667</v>
      </c>
      <c r="W6" s="222"/>
      <c r="X6" s="221">
        <v>0.0</v>
      </c>
      <c r="Y6" s="221">
        <v>0.0</v>
      </c>
      <c r="Z6" s="223">
        <v>0.0</v>
      </c>
      <c r="AA6" s="223">
        <v>0.0</v>
      </c>
      <c r="AB6" s="223">
        <v>0.0</v>
      </c>
      <c r="AC6" s="223">
        <v>0.0</v>
      </c>
      <c r="AD6" s="224">
        <v>0.0</v>
      </c>
      <c r="AE6" s="174">
        <f t="shared" si="1"/>
        <v>0</v>
      </c>
      <c r="AF6" s="225">
        <f t="shared" si="2"/>
        <v>14.5</v>
      </c>
    </row>
    <row r="7">
      <c r="A7" s="39">
        <v>4.0</v>
      </c>
      <c r="B7" s="62" t="s">
        <v>90</v>
      </c>
      <c r="C7" s="59"/>
      <c r="D7" s="54" t="s">
        <v>41</v>
      </c>
      <c r="E7" s="54" t="s">
        <v>42</v>
      </c>
      <c r="F7" s="2" t="s">
        <v>92</v>
      </c>
      <c r="G7" s="2" t="s">
        <v>667</v>
      </c>
      <c r="H7" s="222"/>
      <c r="I7" s="221">
        <v>0.0</v>
      </c>
      <c r="J7" s="221">
        <v>0.0</v>
      </c>
      <c r="K7" s="2" t="s">
        <v>92</v>
      </c>
      <c r="L7" s="2" t="s">
        <v>667</v>
      </c>
      <c r="M7" s="222"/>
      <c r="N7" s="221">
        <v>0.0</v>
      </c>
      <c r="O7" s="221">
        <v>0.0</v>
      </c>
      <c r="P7" s="2" t="s">
        <v>92</v>
      </c>
      <c r="Q7" s="2" t="s">
        <v>667</v>
      </c>
      <c r="R7" s="222"/>
      <c r="S7" s="221">
        <v>0.0</v>
      </c>
      <c r="T7" s="221">
        <v>0.0</v>
      </c>
      <c r="U7" s="2" t="s">
        <v>92</v>
      </c>
      <c r="V7" s="2" t="s">
        <v>667</v>
      </c>
      <c r="W7" s="222"/>
      <c r="X7" s="221">
        <v>0.0</v>
      </c>
      <c r="Y7" s="221">
        <v>0.0</v>
      </c>
      <c r="Z7" s="223">
        <v>0.0</v>
      </c>
      <c r="AA7" s="223">
        <v>0.0</v>
      </c>
      <c r="AB7" s="223">
        <v>0.0</v>
      </c>
      <c r="AC7" s="223">
        <v>0.0</v>
      </c>
      <c r="AD7" s="224">
        <v>0.0</v>
      </c>
      <c r="AE7" s="174">
        <f t="shared" si="1"/>
        <v>0</v>
      </c>
      <c r="AF7" s="225">
        <f t="shared" si="2"/>
        <v>14.5</v>
      </c>
    </row>
    <row r="8">
      <c r="A8" s="216">
        <v>5.0</v>
      </c>
      <c r="B8" s="62" t="s">
        <v>90</v>
      </c>
      <c r="C8" s="59"/>
      <c r="D8" s="54" t="s">
        <v>48</v>
      </c>
      <c r="E8" s="54" t="s">
        <v>51</v>
      </c>
      <c r="F8" s="2" t="s">
        <v>92</v>
      </c>
      <c r="G8" s="2" t="s">
        <v>667</v>
      </c>
      <c r="H8" s="222"/>
      <c r="I8" s="221">
        <v>0.0</v>
      </c>
      <c r="J8" s="221">
        <v>0.0</v>
      </c>
      <c r="K8" s="2" t="s">
        <v>92</v>
      </c>
      <c r="L8" s="2" t="s">
        <v>667</v>
      </c>
      <c r="M8" s="222"/>
      <c r="N8" s="221">
        <v>0.0</v>
      </c>
      <c r="O8" s="221">
        <v>0.0</v>
      </c>
      <c r="P8" s="2" t="s">
        <v>92</v>
      </c>
      <c r="Q8" s="2" t="s">
        <v>667</v>
      </c>
      <c r="R8" s="222"/>
      <c r="S8" s="221">
        <v>0.0</v>
      </c>
      <c r="T8" s="221">
        <v>0.0</v>
      </c>
      <c r="U8" s="2" t="s">
        <v>92</v>
      </c>
      <c r="V8" s="2" t="s">
        <v>667</v>
      </c>
      <c r="W8" s="222"/>
      <c r="X8" s="221">
        <v>0.0</v>
      </c>
      <c r="Y8" s="221">
        <v>0.0</v>
      </c>
      <c r="Z8" s="223">
        <v>0.0</v>
      </c>
      <c r="AA8" s="223">
        <v>0.0</v>
      </c>
      <c r="AB8" s="223">
        <v>0.0</v>
      </c>
      <c r="AC8" s="223">
        <v>0.0</v>
      </c>
      <c r="AD8" s="224">
        <v>0.0</v>
      </c>
      <c r="AE8" s="174">
        <f t="shared" si="1"/>
        <v>0</v>
      </c>
      <c r="AF8" s="225">
        <f t="shared" si="2"/>
        <v>14.5</v>
      </c>
    </row>
    <row r="9">
      <c r="A9" s="39">
        <v>6.0</v>
      </c>
      <c r="B9" s="62" t="s">
        <v>90</v>
      </c>
      <c r="C9" s="59"/>
      <c r="D9" s="43" t="s">
        <v>58</v>
      </c>
      <c r="E9" s="43" t="s">
        <v>148</v>
      </c>
      <c r="F9" s="2" t="s">
        <v>92</v>
      </c>
      <c r="G9" s="2" t="s">
        <v>667</v>
      </c>
      <c r="H9" s="222"/>
      <c r="I9" s="221">
        <v>0.0</v>
      </c>
      <c r="J9" s="221">
        <v>0.0</v>
      </c>
      <c r="K9" s="2" t="s">
        <v>92</v>
      </c>
      <c r="L9" s="2" t="s">
        <v>667</v>
      </c>
      <c r="M9" s="222"/>
      <c r="N9" s="221">
        <v>0.0</v>
      </c>
      <c r="O9" s="221">
        <v>0.0</v>
      </c>
      <c r="P9" s="2" t="s">
        <v>92</v>
      </c>
      <c r="Q9" s="2" t="s">
        <v>667</v>
      </c>
      <c r="R9" s="222"/>
      <c r="S9" s="221">
        <v>0.0</v>
      </c>
      <c r="T9" s="221">
        <v>0.0</v>
      </c>
      <c r="U9" s="2" t="s">
        <v>92</v>
      </c>
      <c r="V9" s="2" t="s">
        <v>667</v>
      </c>
      <c r="W9" s="222"/>
      <c r="X9" s="221">
        <v>0.0</v>
      </c>
      <c r="Y9" s="221">
        <v>0.0</v>
      </c>
      <c r="Z9" s="223">
        <v>0.0</v>
      </c>
      <c r="AA9" s="223">
        <v>0.0</v>
      </c>
      <c r="AB9" s="223">
        <v>0.0</v>
      </c>
      <c r="AC9" s="223">
        <v>0.0</v>
      </c>
      <c r="AD9" s="224">
        <v>0.0</v>
      </c>
      <c r="AE9" s="174">
        <f t="shared" si="1"/>
        <v>0</v>
      </c>
      <c r="AF9" s="225">
        <f t="shared" si="2"/>
        <v>14.5</v>
      </c>
    </row>
    <row r="10">
      <c r="A10" s="216">
        <v>7.0</v>
      </c>
      <c r="B10" s="105" t="s">
        <v>90</v>
      </c>
      <c r="C10" s="68"/>
      <c r="D10" s="70" t="s">
        <v>63</v>
      </c>
      <c r="E10" s="74" t="s">
        <v>64</v>
      </c>
      <c r="F10" s="84" t="s">
        <v>92</v>
      </c>
      <c r="G10" s="2" t="s">
        <v>667</v>
      </c>
      <c r="H10" s="222"/>
      <c r="I10" s="221">
        <v>0.0</v>
      </c>
      <c r="J10" s="221">
        <v>0.0</v>
      </c>
      <c r="K10" s="2" t="s">
        <v>92</v>
      </c>
      <c r="L10" s="2" t="s">
        <v>667</v>
      </c>
      <c r="M10" s="222"/>
      <c r="N10" s="221">
        <v>0.0</v>
      </c>
      <c r="O10" s="221">
        <v>0.0</v>
      </c>
      <c r="P10" s="2" t="s">
        <v>92</v>
      </c>
      <c r="Q10" s="2" t="s">
        <v>667</v>
      </c>
      <c r="R10" s="222"/>
      <c r="S10" s="221">
        <v>0.0</v>
      </c>
      <c r="T10" s="221">
        <v>0.0</v>
      </c>
      <c r="U10" s="2" t="s">
        <v>92</v>
      </c>
      <c r="V10" s="2" t="s">
        <v>667</v>
      </c>
      <c r="W10" s="222"/>
      <c r="X10" s="221">
        <v>0.0</v>
      </c>
      <c r="Y10" s="221">
        <v>0.0</v>
      </c>
      <c r="Z10" s="223">
        <v>0.0</v>
      </c>
      <c r="AA10" s="223">
        <v>0.0</v>
      </c>
      <c r="AB10" s="223">
        <v>0.0</v>
      </c>
      <c r="AC10" s="223">
        <v>0.0</v>
      </c>
      <c r="AD10" s="224">
        <v>0.0</v>
      </c>
      <c r="AE10" s="174">
        <f t="shared" si="1"/>
        <v>0</v>
      </c>
      <c r="AF10" s="225">
        <f t="shared" si="2"/>
        <v>14.5</v>
      </c>
    </row>
    <row r="11">
      <c r="A11" s="39">
        <v>8.0</v>
      </c>
      <c r="B11" s="62" t="s">
        <v>90</v>
      </c>
      <c r="C11" s="59"/>
      <c r="D11" s="54" t="s">
        <v>66</v>
      </c>
      <c r="E11" s="54" t="s">
        <v>187</v>
      </c>
      <c r="F11" s="2" t="s">
        <v>92</v>
      </c>
      <c r="G11" s="2" t="s">
        <v>667</v>
      </c>
      <c r="H11" s="222"/>
      <c r="I11" s="221">
        <v>0.0</v>
      </c>
      <c r="J11" s="221">
        <v>0.0</v>
      </c>
      <c r="K11" s="2" t="s">
        <v>92</v>
      </c>
      <c r="L11" s="2" t="s">
        <v>667</v>
      </c>
      <c r="M11" s="222"/>
      <c r="N11" s="221">
        <v>0.0</v>
      </c>
      <c r="O11" s="221">
        <v>0.0</v>
      </c>
      <c r="P11" s="2" t="s">
        <v>92</v>
      </c>
      <c r="Q11" s="2" t="s">
        <v>667</v>
      </c>
      <c r="R11" s="222"/>
      <c r="S11" s="221">
        <v>0.0</v>
      </c>
      <c r="T11" s="221">
        <v>0.0</v>
      </c>
      <c r="U11" s="2" t="s">
        <v>92</v>
      </c>
      <c r="V11" s="2" t="s">
        <v>667</v>
      </c>
      <c r="W11" s="222"/>
      <c r="X11" s="221">
        <v>0.0</v>
      </c>
      <c r="Y11" s="221">
        <v>0.0</v>
      </c>
      <c r="Z11" s="223">
        <v>0.0</v>
      </c>
      <c r="AA11" s="223">
        <v>0.0</v>
      </c>
      <c r="AB11" s="223">
        <v>0.0</v>
      </c>
      <c r="AC11" s="223">
        <v>0.0</v>
      </c>
      <c r="AD11" s="224">
        <v>0.0</v>
      </c>
      <c r="AE11" s="174">
        <f t="shared" si="1"/>
        <v>0</v>
      </c>
      <c r="AF11" s="225">
        <f t="shared" si="2"/>
        <v>14.5</v>
      </c>
    </row>
    <row r="12">
      <c r="A12" s="216">
        <v>9.0</v>
      </c>
      <c r="B12" s="62" t="s">
        <v>90</v>
      </c>
      <c r="C12" s="59"/>
      <c r="D12" s="46" t="s">
        <v>71</v>
      </c>
      <c r="E12" s="46" t="s">
        <v>195</v>
      </c>
      <c r="F12" s="2" t="s">
        <v>92</v>
      </c>
      <c r="G12" s="2" t="s">
        <v>667</v>
      </c>
      <c r="H12" s="222"/>
      <c r="I12" s="221">
        <v>0.0</v>
      </c>
      <c r="J12" s="221">
        <v>0.0</v>
      </c>
      <c r="K12" s="2" t="s">
        <v>92</v>
      </c>
      <c r="L12" s="2" t="s">
        <v>667</v>
      </c>
      <c r="M12" s="222"/>
      <c r="N12" s="221">
        <v>0.0</v>
      </c>
      <c r="O12" s="221">
        <v>0.0</v>
      </c>
      <c r="P12" s="2" t="s">
        <v>92</v>
      </c>
      <c r="Q12" s="2" t="s">
        <v>667</v>
      </c>
      <c r="R12" s="222"/>
      <c r="S12" s="221">
        <v>0.0</v>
      </c>
      <c r="T12" s="221">
        <v>0.0</v>
      </c>
      <c r="U12" s="2" t="s">
        <v>92</v>
      </c>
      <c r="V12" s="2" t="s">
        <v>667</v>
      </c>
      <c r="W12" s="222"/>
      <c r="X12" s="221">
        <v>0.0</v>
      </c>
      <c r="Y12" s="221">
        <v>0.0</v>
      </c>
      <c r="Z12" s="223">
        <v>0.0</v>
      </c>
      <c r="AA12" s="223">
        <v>0.0</v>
      </c>
      <c r="AB12" s="223">
        <v>0.0</v>
      </c>
      <c r="AC12" s="223">
        <v>0.0</v>
      </c>
      <c r="AD12" s="224">
        <v>0.0</v>
      </c>
      <c r="AE12" s="174">
        <f t="shared" si="1"/>
        <v>0</v>
      </c>
      <c r="AF12" s="225">
        <f t="shared" si="2"/>
        <v>14.5</v>
      </c>
    </row>
    <row r="13">
      <c r="A13" s="39">
        <v>10.0</v>
      </c>
      <c r="B13" s="62" t="s">
        <v>90</v>
      </c>
      <c r="C13" s="59"/>
      <c r="D13" s="54" t="s">
        <v>85</v>
      </c>
      <c r="E13" s="54" t="s">
        <v>86</v>
      </c>
      <c r="F13" s="2" t="s">
        <v>92</v>
      </c>
      <c r="G13" s="2" t="s">
        <v>667</v>
      </c>
      <c r="H13" s="222"/>
      <c r="I13" s="221">
        <v>0.0</v>
      </c>
      <c r="J13" s="221">
        <v>0.0</v>
      </c>
      <c r="K13" s="2" t="s">
        <v>92</v>
      </c>
      <c r="L13" s="2" t="s">
        <v>667</v>
      </c>
      <c r="M13" s="222"/>
      <c r="N13" s="221">
        <v>0.0</v>
      </c>
      <c r="O13" s="221">
        <v>0.0</v>
      </c>
      <c r="P13" s="2" t="s">
        <v>92</v>
      </c>
      <c r="Q13" s="2" t="s">
        <v>667</v>
      </c>
      <c r="R13" s="222"/>
      <c r="S13" s="221">
        <v>0.0</v>
      </c>
      <c r="T13" s="221">
        <v>0.0</v>
      </c>
      <c r="U13" s="2" t="s">
        <v>92</v>
      </c>
      <c r="V13" s="2" t="s">
        <v>667</v>
      </c>
      <c r="W13" s="222"/>
      <c r="X13" s="221">
        <v>0.0</v>
      </c>
      <c r="Y13" s="221">
        <v>0.0</v>
      </c>
      <c r="Z13" s="223">
        <v>0.0</v>
      </c>
      <c r="AA13" s="223">
        <v>0.0</v>
      </c>
      <c r="AB13" s="223">
        <v>0.0</v>
      </c>
      <c r="AC13" s="223">
        <v>0.0</v>
      </c>
      <c r="AD13" s="224">
        <v>0.0</v>
      </c>
      <c r="AE13" s="174">
        <f t="shared" si="1"/>
        <v>0</v>
      </c>
      <c r="AF13" s="225">
        <f t="shared" si="2"/>
        <v>14.5</v>
      </c>
    </row>
    <row r="14">
      <c r="A14" s="216">
        <v>11.0</v>
      </c>
      <c r="B14" s="62" t="s">
        <v>90</v>
      </c>
      <c r="C14" s="59"/>
      <c r="D14" s="54" t="s">
        <v>88</v>
      </c>
      <c r="E14" s="54" t="s">
        <v>246</v>
      </c>
      <c r="F14" s="2" t="s">
        <v>92</v>
      </c>
      <c r="G14" s="2" t="s">
        <v>667</v>
      </c>
      <c r="H14" s="222"/>
      <c r="I14" s="221">
        <v>0.0</v>
      </c>
      <c r="J14" s="221">
        <v>0.0</v>
      </c>
      <c r="K14" s="2" t="s">
        <v>92</v>
      </c>
      <c r="L14" s="2" t="s">
        <v>667</v>
      </c>
      <c r="M14" s="222"/>
      <c r="N14" s="221">
        <v>0.0</v>
      </c>
      <c r="O14" s="221">
        <v>0.0</v>
      </c>
      <c r="P14" s="2" t="s">
        <v>92</v>
      </c>
      <c r="Q14" s="2" t="s">
        <v>667</v>
      </c>
      <c r="R14" s="222"/>
      <c r="S14" s="221">
        <v>0.0</v>
      </c>
      <c r="T14" s="221">
        <v>0.0</v>
      </c>
      <c r="U14" s="2" t="s">
        <v>92</v>
      </c>
      <c r="V14" s="2" t="s">
        <v>667</v>
      </c>
      <c r="W14" s="222"/>
      <c r="X14" s="221">
        <v>0.0</v>
      </c>
      <c r="Y14" s="221">
        <v>0.0</v>
      </c>
      <c r="Z14" s="223">
        <v>0.0</v>
      </c>
      <c r="AA14" s="223">
        <v>0.0</v>
      </c>
      <c r="AB14" s="223">
        <v>0.0</v>
      </c>
      <c r="AC14" s="223">
        <v>0.0</v>
      </c>
      <c r="AD14" s="224">
        <v>0.0</v>
      </c>
      <c r="AE14" s="174">
        <f t="shared" si="1"/>
        <v>0</v>
      </c>
      <c r="AF14" s="225">
        <f t="shared" si="2"/>
        <v>14.5</v>
      </c>
    </row>
    <row r="15">
      <c r="A15" s="39">
        <v>12.0</v>
      </c>
      <c r="B15" s="62" t="s">
        <v>90</v>
      </c>
      <c r="C15" s="59"/>
      <c r="D15" s="43" t="s">
        <v>94</v>
      </c>
      <c r="E15" s="43" t="s">
        <v>258</v>
      </c>
      <c r="F15" s="2" t="s">
        <v>92</v>
      </c>
      <c r="G15" s="2" t="s">
        <v>667</v>
      </c>
      <c r="H15" s="222"/>
      <c r="I15" s="221">
        <v>0.0</v>
      </c>
      <c r="J15" s="221">
        <v>0.0</v>
      </c>
      <c r="K15" s="2" t="s">
        <v>92</v>
      </c>
      <c r="L15" s="2" t="s">
        <v>667</v>
      </c>
      <c r="M15" s="222"/>
      <c r="N15" s="221">
        <v>0.0</v>
      </c>
      <c r="O15" s="221">
        <v>0.0</v>
      </c>
      <c r="P15" s="2" t="s">
        <v>92</v>
      </c>
      <c r="Q15" s="2" t="s">
        <v>667</v>
      </c>
      <c r="R15" s="222"/>
      <c r="S15" s="221">
        <v>0.0</v>
      </c>
      <c r="T15" s="221">
        <v>0.0</v>
      </c>
      <c r="U15" s="2" t="s">
        <v>92</v>
      </c>
      <c r="V15" s="2" t="s">
        <v>667</v>
      </c>
      <c r="W15" s="222"/>
      <c r="X15" s="221">
        <v>0.0</v>
      </c>
      <c r="Y15" s="221">
        <v>0.0</v>
      </c>
      <c r="Z15" s="223">
        <v>0.0</v>
      </c>
      <c r="AA15" s="223">
        <v>0.0</v>
      </c>
      <c r="AB15" s="223">
        <v>0.0</v>
      </c>
      <c r="AC15" s="223">
        <v>0.0</v>
      </c>
      <c r="AD15" s="224">
        <v>0.0</v>
      </c>
      <c r="AE15" s="174">
        <f t="shared" si="1"/>
        <v>0</v>
      </c>
      <c r="AF15" s="225">
        <f t="shared" si="2"/>
        <v>14.5</v>
      </c>
    </row>
    <row r="16">
      <c r="A16" s="216">
        <v>13.0</v>
      </c>
      <c r="B16" s="121" t="s">
        <v>90</v>
      </c>
      <c r="C16" s="87"/>
      <c r="D16" s="43" t="s">
        <v>107</v>
      </c>
      <c r="E16" s="46" t="s">
        <v>276</v>
      </c>
      <c r="F16" s="2" t="s">
        <v>92</v>
      </c>
      <c r="G16" s="2" t="s">
        <v>667</v>
      </c>
      <c r="H16" s="222"/>
      <c r="I16" s="221">
        <v>0.0</v>
      </c>
      <c r="J16" s="221">
        <v>0.0</v>
      </c>
      <c r="K16" s="2" t="s">
        <v>92</v>
      </c>
      <c r="L16" s="2" t="s">
        <v>667</v>
      </c>
      <c r="M16" s="222"/>
      <c r="N16" s="221">
        <v>0.0</v>
      </c>
      <c r="O16" s="221">
        <v>0.0</v>
      </c>
      <c r="P16" s="2" t="s">
        <v>92</v>
      </c>
      <c r="Q16" s="2" t="s">
        <v>667</v>
      </c>
      <c r="R16" s="222"/>
      <c r="S16" s="221">
        <v>0.0</v>
      </c>
      <c r="T16" s="221">
        <v>0.0</v>
      </c>
      <c r="U16" s="2" t="s">
        <v>92</v>
      </c>
      <c r="V16" s="2" t="s">
        <v>667</v>
      </c>
      <c r="W16" s="222"/>
      <c r="X16" s="221">
        <v>0.0</v>
      </c>
      <c r="Y16" s="221">
        <v>0.0</v>
      </c>
      <c r="Z16" s="223">
        <v>0.0</v>
      </c>
      <c r="AA16" s="223">
        <v>0.0</v>
      </c>
      <c r="AB16" s="223">
        <v>0.0</v>
      </c>
      <c r="AC16" s="223">
        <v>0.0</v>
      </c>
      <c r="AD16" s="224">
        <v>0.0</v>
      </c>
      <c r="AE16" s="174">
        <f t="shared" si="1"/>
        <v>0</v>
      </c>
      <c r="AF16" s="225">
        <f t="shared" si="2"/>
        <v>14.5</v>
      </c>
    </row>
    <row r="17">
      <c r="A17" s="39">
        <v>14.0</v>
      </c>
      <c r="B17" s="62" t="s">
        <v>90</v>
      </c>
      <c r="C17" s="59"/>
      <c r="D17" s="43" t="s">
        <v>112</v>
      </c>
      <c r="E17" s="43" t="s">
        <v>292</v>
      </c>
      <c r="F17" s="2" t="s">
        <v>92</v>
      </c>
      <c r="G17" s="2" t="s">
        <v>667</v>
      </c>
      <c r="H17" s="222"/>
      <c r="I17" s="221">
        <v>0.0</v>
      </c>
      <c r="J17" s="221">
        <v>0.0</v>
      </c>
      <c r="K17" s="2" t="s">
        <v>92</v>
      </c>
      <c r="L17" s="2" t="s">
        <v>667</v>
      </c>
      <c r="M17" s="222"/>
      <c r="N17" s="221">
        <v>0.0</v>
      </c>
      <c r="O17" s="221">
        <v>0.0</v>
      </c>
      <c r="P17" s="2" t="s">
        <v>92</v>
      </c>
      <c r="Q17" s="2" t="s">
        <v>667</v>
      </c>
      <c r="R17" s="222"/>
      <c r="S17" s="221">
        <v>0.0</v>
      </c>
      <c r="T17" s="221">
        <v>0.0</v>
      </c>
      <c r="U17" s="2" t="s">
        <v>92</v>
      </c>
      <c r="V17" s="2" t="s">
        <v>667</v>
      </c>
      <c r="W17" s="222"/>
      <c r="X17" s="221">
        <v>0.0</v>
      </c>
      <c r="Y17" s="221">
        <v>0.0</v>
      </c>
      <c r="Z17" s="223">
        <v>0.0</v>
      </c>
      <c r="AA17" s="223">
        <v>0.0</v>
      </c>
      <c r="AB17" s="223">
        <v>0.0</v>
      </c>
      <c r="AC17" s="223">
        <v>0.0</v>
      </c>
      <c r="AD17" s="224">
        <v>0.0</v>
      </c>
      <c r="AE17" s="174">
        <f t="shared" si="1"/>
        <v>0</v>
      </c>
      <c r="AF17" s="225">
        <f t="shared" si="2"/>
        <v>14.5</v>
      </c>
    </row>
    <row r="18">
      <c r="A18" s="216">
        <v>15.0</v>
      </c>
      <c r="B18" s="62" t="s">
        <v>90</v>
      </c>
      <c r="C18" s="59"/>
      <c r="D18" s="43" t="s">
        <v>119</v>
      </c>
      <c r="E18" s="43" t="s">
        <v>121</v>
      </c>
      <c r="F18" s="2" t="s">
        <v>92</v>
      </c>
      <c r="G18" s="2" t="s">
        <v>667</v>
      </c>
      <c r="H18" s="222"/>
      <c r="I18" s="228">
        <v>0.0</v>
      </c>
      <c r="J18" s="228">
        <v>0.0</v>
      </c>
      <c r="K18" s="2" t="s">
        <v>92</v>
      </c>
      <c r="L18" s="2" t="s">
        <v>667</v>
      </c>
      <c r="M18" s="222"/>
      <c r="N18" s="228">
        <v>0.0</v>
      </c>
      <c r="O18" s="228">
        <v>0.0</v>
      </c>
      <c r="P18" s="2" t="s">
        <v>92</v>
      </c>
      <c r="Q18" s="2" t="s">
        <v>667</v>
      </c>
      <c r="R18" s="222"/>
      <c r="S18" s="228">
        <v>0.0</v>
      </c>
      <c r="T18" s="228">
        <v>0.0</v>
      </c>
      <c r="U18" s="2" t="s">
        <v>92</v>
      </c>
      <c r="V18" s="2" t="s">
        <v>667</v>
      </c>
      <c r="W18" s="222"/>
      <c r="X18" s="228">
        <v>0.0</v>
      </c>
      <c r="Y18" s="228">
        <v>0.0</v>
      </c>
      <c r="Z18" s="231">
        <v>0.0</v>
      </c>
      <c r="AA18" s="231">
        <v>0.0</v>
      </c>
      <c r="AB18" s="231">
        <v>0.0</v>
      </c>
      <c r="AC18" s="231">
        <v>0.0</v>
      </c>
      <c r="AD18" s="224">
        <v>0.0</v>
      </c>
      <c r="AE18" s="174">
        <f t="shared" si="1"/>
        <v>0</v>
      </c>
      <c r="AF18" s="225">
        <f t="shared" si="2"/>
        <v>14.5</v>
      </c>
    </row>
    <row r="19">
      <c r="A19" s="39">
        <v>16.0</v>
      </c>
      <c r="B19" s="62" t="s">
        <v>90</v>
      </c>
      <c r="C19" s="59"/>
      <c r="D19" s="43" t="s">
        <v>112</v>
      </c>
      <c r="E19" s="43" t="s">
        <v>117</v>
      </c>
      <c r="F19" s="2" t="s">
        <v>92</v>
      </c>
      <c r="G19" s="2" t="s">
        <v>667</v>
      </c>
      <c r="H19" s="222"/>
      <c r="I19" s="221">
        <v>0.0</v>
      </c>
      <c r="J19" s="221">
        <v>0.0</v>
      </c>
      <c r="K19" s="2" t="s">
        <v>92</v>
      </c>
      <c r="L19" s="2" t="s">
        <v>667</v>
      </c>
      <c r="M19" s="222"/>
      <c r="N19" s="221">
        <v>0.0</v>
      </c>
      <c r="O19" s="221">
        <v>0.0</v>
      </c>
      <c r="P19" s="2" t="s">
        <v>92</v>
      </c>
      <c r="Q19" s="2" t="s">
        <v>667</v>
      </c>
      <c r="R19" s="222"/>
      <c r="S19" s="221">
        <v>0.0</v>
      </c>
      <c r="T19" s="221">
        <v>0.0</v>
      </c>
      <c r="U19" s="2" t="s">
        <v>92</v>
      </c>
      <c r="V19" s="2" t="s">
        <v>667</v>
      </c>
      <c r="W19" s="222"/>
      <c r="X19" s="221">
        <v>0.0</v>
      </c>
      <c r="Y19" s="221">
        <v>0.0</v>
      </c>
      <c r="Z19" s="223">
        <v>0.0</v>
      </c>
      <c r="AA19" s="223">
        <v>0.0</v>
      </c>
      <c r="AB19" s="223">
        <v>0.0</v>
      </c>
      <c r="AC19" s="223">
        <v>0.0</v>
      </c>
      <c r="AD19" s="224">
        <v>0.0</v>
      </c>
      <c r="AE19" s="174">
        <f t="shared" si="1"/>
        <v>0</v>
      </c>
      <c r="AF19" s="225">
        <f t="shared" si="2"/>
        <v>14.5</v>
      </c>
    </row>
    <row r="20">
      <c r="A20" s="216">
        <v>17.0</v>
      </c>
      <c r="B20" s="62" t="s">
        <v>90</v>
      </c>
      <c r="C20" s="59"/>
      <c r="D20" s="43" t="s">
        <v>126</v>
      </c>
      <c r="E20" s="43" t="s">
        <v>127</v>
      </c>
      <c r="F20" s="2" t="s">
        <v>92</v>
      </c>
      <c r="G20" s="2" t="s">
        <v>667</v>
      </c>
      <c r="H20" s="222"/>
      <c r="I20" s="221">
        <v>0.0</v>
      </c>
      <c r="J20" s="221">
        <v>0.0</v>
      </c>
      <c r="K20" s="2" t="s">
        <v>92</v>
      </c>
      <c r="L20" s="2" t="s">
        <v>667</v>
      </c>
      <c r="M20" s="222"/>
      <c r="N20" s="221">
        <v>0.0</v>
      </c>
      <c r="O20" s="221">
        <v>0.0</v>
      </c>
      <c r="P20" s="2" t="s">
        <v>92</v>
      </c>
      <c r="Q20" s="2" t="s">
        <v>667</v>
      </c>
      <c r="R20" s="222"/>
      <c r="S20" s="221">
        <v>0.0</v>
      </c>
      <c r="T20" s="221">
        <v>0.0</v>
      </c>
      <c r="U20" s="2" t="s">
        <v>92</v>
      </c>
      <c r="V20" s="2" t="s">
        <v>667</v>
      </c>
      <c r="W20" s="222"/>
      <c r="X20" s="221">
        <v>0.0</v>
      </c>
      <c r="Y20" s="221">
        <v>0.0</v>
      </c>
      <c r="Z20" s="223">
        <v>0.0</v>
      </c>
      <c r="AA20" s="223">
        <v>0.0</v>
      </c>
      <c r="AB20" s="223">
        <v>0.0</v>
      </c>
      <c r="AC20" s="223">
        <v>0.0</v>
      </c>
      <c r="AD20" s="224">
        <v>0.0</v>
      </c>
      <c r="AE20" s="174">
        <f t="shared" si="1"/>
        <v>0</v>
      </c>
      <c r="AF20" s="225">
        <f t="shared" si="2"/>
        <v>14.5</v>
      </c>
    </row>
    <row r="21">
      <c r="A21" s="39">
        <v>18.0</v>
      </c>
      <c r="B21" s="62" t="s">
        <v>90</v>
      </c>
      <c r="C21" s="59"/>
      <c r="D21" s="54" t="s">
        <v>135</v>
      </c>
      <c r="E21" s="54" t="s">
        <v>136</v>
      </c>
      <c r="F21" s="2" t="s">
        <v>92</v>
      </c>
      <c r="G21" s="2" t="s">
        <v>667</v>
      </c>
      <c r="H21" s="222"/>
      <c r="I21" s="221">
        <v>0.0</v>
      </c>
      <c r="J21" s="221">
        <v>0.0</v>
      </c>
      <c r="K21" s="2" t="s">
        <v>92</v>
      </c>
      <c r="L21" s="2" t="s">
        <v>667</v>
      </c>
      <c r="M21" s="222"/>
      <c r="N21" s="221">
        <v>0.0</v>
      </c>
      <c r="O21" s="221">
        <v>0.0</v>
      </c>
      <c r="P21" s="2" t="s">
        <v>92</v>
      </c>
      <c r="Q21" s="2" t="s">
        <v>667</v>
      </c>
      <c r="R21" s="222"/>
      <c r="S21" s="221">
        <v>0.0</v>
      </c>
      <c r="T21" s="221">
        <v>0.0</v>
      </c>
      <c r="U21" s="2" t="s">
        <v>92</v>
      </c>
      <c r="V21" s="2" t="s">
        <v>667</v>
      </c>
      <c r="W21" s="222"/>
      <c r="X21" s="221">
        <v>0.0</v>
      </c>
      <c r="Y21" s="221">
        <v>0.0</v>
      </c>
      <c r="Z21" s="223">
        <v>0.0</v>
      </c>
      <c r="AA21" s="223">
        <v>0.0</v>
      </c>
      <c r="AB21" s="223">
        <v>0.0</v>
      </c>
      <c r="AC21" s="223">
        <v>0.0</v>
      </c>
      <c r="AD21" s="224">
        <v>0.0</v>
      </c>
      <c r="AE21" s="174">
        <f t="shared" si="1"/>
        <v>0</v>
      </c>
      <c r="AF21" s="225">
        <f t="shared" si="2"/>
        <v>14.5</v>
      </c>
    </row>
    <row r="22">
      <c r="A22" s="216">
        <v>19.0</v>
      </c>
      <c r="B22" s="62" t="s">
        <v>90</v>
      </c>
      <c r="C22" s="59"/>
      <c r="D22" s="43" t="s">
        <v>138</v>
      </c>
      <c r="E22" s="43" t="s">
        <v>139</v>
      </c>
      <c r="F22" s="2" t="s">
        <v>92</v>
      </c>
      <c r="G22" s="2" t="s">
        <v>667</v>
      </c>
      <c r="H22" s="222"/>
      <c r="I22" s="221">
        <v>0.0</v>
      </c>
      <c r="J22" s="221">
        <v>0.0</v>
      </c>
      <c r="K22" s="2" t="s">
        <v>92</v>
      </c>
      <c r="L22" s="2" t="s">
        <v>667</v>
      </c>
      <c r="M22" s="222"/>
      <c r="N22" s="221">
        <v>0.0</v>
      </c>
      <c r="O22" s="221">
        <v>0.0</v>
      </c>
      <c r="P22" s="2" t="s">
        <v>92</v>
      </c>
      <c r="Q22" s="2" t="s">
        <v>667</v>
      </c>
      <c r="R22" s="222"/>
      <c r="S22" s="221">
        <v>0.0</v>
      </c>
      <c r="T22" s="221">
        <v>0.0</v>
      </c>
      <c r="U22" s="2" t="s">
        <v>92</v>
      </c>
      <c r="V22" s="2" t="s">
        <v>667</v>
      </c>
      <c r="W22" s="222"/>
      <c r="X22" s="221">
        <v>0.0</v>
      </c>
      <c r="Y22" s="221">
        <v>0.0</v>
      </c>
      <c r="Z22" s="223">
        <v>0.0</v>
      </c>
      <c r="AA22" s="223">
        <v>0.0</v>
      </c>
      <c r="AB22" s="223">
        <v>0.0</v>
      </c>
      <c r="AC22" s="223">
        <v>0.0</v>
      </c>
      <c r="AD22" s="224">
        <v>0.0</v>
      </c>
      <c r="AE22" s="174">
        <f t="shared" si="1"/>
        <v>0</v>
      </c>
      <c r="AF22" s="225">
        <f t="shared" si="2"/>
        <v>14.5</v>
      </c>
    </row>
    <row r="23">
      <c r="A23" s="39">
        <v>20.0</v>
      </c>
      <c r="B23" s="62" t="s">
        <v>90</v>
      </c>
      <c r="C23" s="59"/>
      <c r="D23" s="43" t="s">
        <v>146</v>
      </c>
      <c r="E23" s="43" t="s">
        <v>149</v>
      </c>
      <c r="F23" s="2" t="s">
        <v>92</v>
      </c>
      <c r="G23" s="2" t="s">
        <v>667</v>
      </c>
      <c r="H23" s="222"/>
      <c r="I23" s="221">
        <v>0.0</v>
      </c>
      <c r="J23" s="221">
        <v>0.0</v>
      </c>
      <c r="K23" s="2" t="s">
        <v>92</v>
      </c>
      <c r="L23" s="2" t="s">
        <v>667</v>
      </c>
      <c r="M23" s="222"/>
      <c r="N23" s="221">
        <v>0.0</v>
      </c>
      <c r="O23" s="221">
        <v>0.0</v>
      </c>
      <c r="P23" s="2" t="s">
        <v>92</v>
      </c>
      <c r="Q23" s="2" t="s">
        <v>667</v>
      </c>
      <c r="R23" s="222"/>
      <c r="S23" s="221">
        <v>0.0</v>
      </c>
      <c r="T23" s="221">
        <v>0.0</v>
      </c>
      <c r="U23" s="2" t="s">
        <v>92</v>
      </c>
      <c r="V23" s="2" t="s">
        <v>667</v>
      </c>
      <c r="W23" s="222"/>
      <c r="X23" s="221">
        <v>0.0</v>
      </c>
      <c r="Y23" s="221">
        <v>0.0</v>
      </c>
      <c r="Z23" s="223">
        <v>0.0</v>
      </c>
      <c r="AA23" s="223">
        <v>0.0</v>
      </c>
      <c r="AB23" s="223">
        <v>0.0</v>
      </c>
      <c r="AC23" s="223">
        <v>0.0</v>
      </c>
      <c r="AD23" s="224">
        <v>0.0</v>
      </c>
      <c r="AE23" s="174">
        <f t="shared" si="1"/>
        <v>0</v>
      </c>
      <c r="AF23" s="225">
        <f t="shared" si="2"/>
        <v>14.5</v>
      </c>
    </row>
    <row r="24">
      <c r="A24" s="216">
        <v>21.0</v>
      </c>
      <c r="B24" s="105" t="s">
        <v>90</v>
      </c>
      <c r="C24" s="68"/>
      <c r="D24" s="74" t="s">
        <v>153</v>
      </c>
      <c r="E24" s="74" t="s">
        <v>154</v>
      </c>
      <c r="F24" s="2" t="s">
        <v>92</v>
      </c>
      <c r="G24" s="2" t="s">
        <v>667</v>
      </c>
      <c r="H24" s="222"/>
      <c r="I24" s="221">
        <v>0.0</v>
      </c>
      <c r="J24" s="221">
        <v>0.0</v>
      </c>
      <c r="K24" s="2" t="s">
        <v>92</v>
      </c>
      <c r="L24" s="2" t="s">
        <v>667</v>
      </c>
      <c r="M24" s="222"/>
      <c r="N24" s="221">
        <v>0.0</v>
      </c>
      <c r="O24" s="221">
        <v>0.0</v>
      </c>
      <c r="P24" s="2" t="s">
        <v>92</v>
      </c>
      <c r="Q24" s="2" t="s">
        <v>667</v>
      </c>
      <c r="R24" s="222"/>
      <c r="S24" s="221">
        <v>0.0</v>
      </c>
      <c r="T24" s="221">
        <v>0.0</v>
      </c>
      <c r="U24" s="2" t="s">
        <v>92</v>
      </c>
      <c r="V24" s="2" t="s">
        <v>667</v>
      </c>
      <c r="W24" s="222"/>
      <c r="X24" s="221">
        <v>0.0</v>
      </c>
      <c r="Y24" s="221">
        <v>0.0</v>
      </c>
      <c r="Z24" s="223">
        <v>0.0</v>
      </c>
      <c r="AA24" s="223">
        <v>0.0</v>
      </c>
      <c r="AB24" s="223">
        <v>0.0</v>
      </c>
      <c r="AC24" s="223">
        <v>0.0</v>
      </c>
      <c r="AD24" s="224">
        <v>0.0</v>
      </c>
      <c r="AE24" s="174">
        <f t="shared" si="1"/>
        <v>0</v>
      </c>
      <c r="AF24" s="225">
        <f t="shared" si="2"/>
        <v>14.5</v>
      </c>
    </row>
    <row r="25">
      <c r="A25" s="39">
        <v>22.0</v>
      </c>
      <c r="B25" s="62" t="s">
        <v>90</v>
      </c>
      <c r="C25" s="59"/>
      <c r="D25" s="54" t="s">
        <v>162</v>
      </c>
      <c r="E25" s="54" t="s">
        <v>163</v>
      </c>
      <c r="F25" s="2" t="s">
        <v>92</v>
      </c>
      <c r="G25" s="2" t="s">
        <v>667</v>
      </c>
      <c r="H25" s="222"/>
      <c r="I25" s="221">
        <v>0.0</v>
      </c>
      <c r="J25" s="221">
        <v>0.0</v>
      </c>
      <c r="K25" s="2" t="s">
        <v>92</v>
      </c>
      <c r="L25" s="2" t="s">
        <v>667</v>
      </c>
      <c r="M25" s="222"/>
      <c r="N25" s="221">
        <v>0.0</v>
      </c>
      <c r="O25" s="221">
        <v>0.0</v>
      </c>
      <c r="P25" s="2" t="s">
        <v>92</v>
      </c>
      <c r="Q25" s="2" t="s">
        <v>667</v>
      </c>
      <c r="R25" s="222"/>
      <c r="S25" s="221">
        <v>0.0</v>
      </c>
      <c r="T25" s="221">
        <v>0.0</v>
      </c>
      <c r="U25" s="2" t="s">
        <v>92</v>
      </c>
      <c r="V25" s="2" t="s">
        <v>667</v>
      </c>
      <c r="W25" s="222"/>
      <c r="X25" s="221">
        <v>0.0</v>
      </c>
      <c r="Y25" s="221">
        <v>0.0</v>
      </c>
      <c r="Z25" s="223">
        <v>0.0</v>
      </c>
      <c r="AA25" s="223">
        <v>0.0</v>
      </c>
      <c r="AB25" s="223">
        <v>0.0</v>
      </c>
      <c r="AC25" s="223">
        <v>0.0</v>
      </c>
      <c r="AD25" s="224">
        <v>0.0</v>
      </c>
      <c r="AE25" s="174">
        <f t="shared" si="1"/>
        <v>0</v>
      </c>
      <c r="AF25" s="225">
        <f t="shared" si="2"/>
        <v>14.5</v>
      </c>
    </row>
    <row r="26">
      <c r="A26" s="216">
        <v>23.0</v>
      </c>
      <c r="B26" s="105" t="s">
        <v>90</v>
      </c>
      <c r="C26" s="68"/>
      <c r="D26" s="70" t="s">
        <v>165</v>
      </c>
      <c r="E26" s="74" t="s">
        <v>166</v>
      </c>
      <c r="F26" s="2" t="s">
        <v>92</v>
      </c>
      <c r="G26" s="2" t="s">
        <v>667</v>
      </c>
      <c r="H26" s="222"/>
      <c r="I26" s="221">
        <v>0.0</v>
      </c>
      <c r="J26" s="221">
        <v>0.0</v>
      </c>
      <c r="K26" s="2" t="s">
        <v>92</v>
      </c>
      <c r="L26" s="2" t="s">
        <v>667</v>
      </c>
      <c r="M26" s="222"/>
      <c r="N26" s="221">
        <v>0.0</v>
      </c>
      <c r="O26" s="221">
        <v>0.0</v>
      </c>
      <c r="P26" s="2" t="s">
        <v>92</v>
      </c>
      <c r="Q26" s="2" t="s">
        <v>667</v>
      </c>
      <c r="R26" s="222"/>
      <c r="S26" s="221">
        <v>0.0</v>
      </c>
      <c r="T26" s="221">
        <v>0.0</v>
      </c>
      <c r="U26" s="2" t="s">
        <v>92</v>
      </c>
      <c r="V26" s="2" t="s">
        <v>667</v>
      </c>
      <c r="W26" s="222"/>
      <c r="X26" s="221">
        <v>0.0</v>
      </c>
      <c r="Y26" s="221">
        <v>0.0</v>
      </c>
      <c r="Z26" s="223">
        <v>0.0</v>
      </c>
      <c r="AA26" s="223">
        <v>0.0</v>
      </c>
      <c r="AB26" s="223">
        <v>0.0</v>
      </c>
      <c r="AC26" s="223">
        <v>0.0</v>
      </c>
      <c r="AD26" s="224">
        <v>0.0</v>
      </c>
      <c r="AE26" s="174">
        <f t="shared" si="1"/>
        <v>0</v>
      </c>
      <c r="AF26" s="225">
        <f t="shared" si="2"/>
        <v>14.5</v>
      </c>
    </row>
    <row r="27">
      <c r="A27" s="39">
        <v>24.0</v>
      </c>
      <c r="B27" s="62" t="s">
        <v>90</v>
      </c>
      <c r="C27" s="59"/>
      <c r="D27" s="43" t="s">
        <v>175</v>
      </c>
      <c r="E27" s="43" t="s">
        <v>80</v>
      </c>
      <c r="F27" s="2" t="s">
        <v>92</v>
      </c>
      <c r="G27" s="2" t="s">
        <v>667</v>
      </c>
      <c r="H27" s="222"/>
      <c r="I27" s="221">
        <v>0.0</v>
      </c>
      <c r="J27" s="221">
        <v>0.0</v>
      </c>
      <c r="K27" s="2" t="s">
        <v>92</v>
      </c>
      <c r="L27" s="2" t="s">
        <v>667</v>
      </c>
      <c r="M27" s="222"/>
      <c r="N27" s="221">
        <v>0.0</v>
      </c>
      <c r="O27" s="221">
        <v>0.0</v>
      </c>
      <c r="P27" s="2" t="s">
        <v>92</v>
      </c>
      <c r="Q27" s="2" t="s">
        <v>667</v>
      </c>
      <c r="R27" s="222"/>
      <c r="S27" s="221">
        <v>0.0</v>
      </c>
      <c r="T27" s="221">
        <v>0.0</v>
      </c>
      <c r="U27" s="2" t="s">
        <v>92</v>
      </c>
      <c r="V27" s="2" t="s">
        <v>667</v>
      </c>
      <c r="W27" s="222"/>
      <c r="X27" s="221">
        <v>0.0</v>
      </c>
      <c r="Y27" s="221">
        <v>0.0</v>
      </c>
      <c r="Z27" s="223">
        <v>0.0</v>
      </c>
      <c r="AA27" s="223">
        <v>0.0</v>
      </c>
      <c r="AB27" s="223">
        <v>0.0</v>
      </c>
      <c r="AC27" s="223">
        <v>0.0</v>
      </c>
      <c r="AD27" s="224">
        <v>0.0</v>
      </c>
      <c r="AE27" s="174">
        <f t="shared" si="1"/>
        <v>0</v>
      </c>
      <c r="AF27" s="225">
        <f t="shared" si="2"/>
        <v>14.5</v>
      </c>
    </row>
    <row r="28">
      <c r="A28" s="216">
        <v>25.0</v>
      </c>
      <c r="B28" s="62" t="s">
        <v>90</v>
      </c>
      <c r="C28" s="59"/>
      <c r="D28" s="46" t="s">
        <v>180</v>
      </c>
      <c r="E28" s="46" t="s">
        <v>181</v>
      </c>
      <c r="F28" s="2" t="s">
        <v>92</v>
      </c>
      <c r="G28" s="2" t="s">
        <v>667</v>
      </c>
      <c r="H28" s="222"/>
      <c r="I28" s="221">
        <v>0.0</v>
      </c>
      <c r="J28" s="221">
        <v>0.0</v>
      </c>
      <c r="K28" s="2" t="s">
        <v>92</v>
      </c>
      <c r="L28" s="2" t="s">
        <v>667</v>
      </c>
      <c r="M28" s="222"/>
      <c r="N28" s="221">
        <v>0.0</v>
      </c>
      <c r="O28" s="221">
        <v>0.0</v>
      </c>
      <c r="P28" s="2" t="s">
        <v>92</v>
      </c>
      <c r="Q28" s="2" t="s">
        <v>667</v>
      </c>
      <c r="R28" s="222"/>
      <c r="S28" s="221">
        <v>0.0</v>
      </c>
      <c r="T28" s="221">
        <v>0.0</v>
      </c>
      <c r="U28" s="2" t="s">
        <v>92</v>
      </c>
      <c r="V28" s="2" t="s">
        <v>667</v>
      </c>
      <c r="W28" s="222"/>
      <c r="X28" s="221">
        <v>0.0</v>
      </c>
      <c r="Y28" s="221">
        <v>0.0</v>
      </c>
      <c r="Z28" s="223">
        <v>0.0</v>
      </c>
      <c r="AA28" s="223">
        <v>0.0</v>
      </c>
      <c r="AB28" s="223">
        <v>0.0</v>
      </c>
      <c r="AC28" s="223">
        <v>0.0</v>
      </c>
      <c r="AD28" s="224">
        <v>0.0</v>
      </c>
      <c r="AE28" s="174">
        <f t="shared" si="1"/>
        <v>0</v>
      </c>
      <c r="AF28" s="225">
        <f t="shared" si="2"/>
        <v>14.5</v>
      </c>
    </row>
    <row r="29">
      <c r="A29" s="39">
        <v>26.0</v>
      </c>
      <c r="B29" s="105" t="s">
        <v>90</v>
      </c>
      <c r="C29" s="68"/>
      <c r="D29" s="70" t="s">
        <v>184</v>
      </c>
      <c r="E29" s="74" t="s">
        <v>185</v>
      </c>
      <c r="F29" s="2" t="s">
        <v>92</v>
      </c>
      <c r="G29" s="2" t="s">
        <v>667</v>
      </c>
      <c r="H29" s="222"/>
      <c r="I29" s="221">
        <v>0.0</v>
      </c>
      <c r="J29" s="221">
        <v>0.0</v>
      </c>
      <c r="K29" s="2" t="s">
        <v>92</v>
      </c>
      <c r="L29" s="2" t="s">
        <v>667</v>
      </c>
      <c r="M29" s="222"/>
      <c r="N29" s="221">
        <v>0.0</v>
      </c>
      <c r="O29" s="221">
        <v>0.0</v>
      </c>
      <c r="P29" s="2" t="s">
        <v>92</v>
      </c>
      <c r="Q29" s="2" t="s">
        <v>667</v>
      </c>
      <c r="R29" s="222"/>
      <c r="S29" s="221">
        <v>0.0</v>
      </c>
      <c r="T29" s="221">
        <v>0.0</v>
      </c>
      <c r="U29" s="2" t="s">
        <v>92</v>
      </c>
      <c r="V29" s="2" t="s">
        <v>667</v>
      </c>
      <c r="W29" s="222"/>
      <c r="X29" s="221">
        <v>0.0</v>
      </c>
      <c r="Y29" s="221">
        <v>0.0</v>
      </c>
      <c r="Z29" s="223">
        <v>0.0</v>
      </c>
      <c r="AA29" s="223">
        <v>0.0</v>
      </c>
      <c r="AB29" s="223">
        <v>0.0</v>
      </c>
      <c r="AC29" s="223">
        <v>0.0</v>
      </c>
      <c r="AD29" s="224">
        <v>0.0</v>
      </c>
      <c r="AE29" s="174">
        <f t="shared" si="1"/>
        <v>0</v>
      </c>
      <c r="AF29" s="225">
        <f t="shared" si="2"/>
        <v>14.5</v>
      </c>
    </row>
    <row r="30">
      <c r="A30" s="216">
        <v>27.0</v>
      </c>
      <c r="B30" s="62" t="s">
        <v>90</v>
      </c>
      <c r="C30" s="59"/>
      <c r="D30" s="54" t="s">
        <v>193</v>
      </c>
      <c r="E30" s="54" t="s">
        <v>194</v>
      </c>
      <c r="F30" s="218" t="s">
        <v>92</v>
      </c>
      <c r="G30" s="2" t="s">
        <v>667</v>
      </c>
      <c r="H30" s="222"/>
      <c r="I30" s="221">
        <v>0.0</v>
      </c>
      <c r="J30" s="221">
        <v>0.0</v>
      </c>
      <c r="K30" s="2" t="s">
        <v>92</v>
      </c>
      <c r="L30" s="2" t="s">
        <v>667</v>
      </c>
      <c r="M30" s="222"/>
      <c r="N30" s="221">
        <v>0.0</v>
      </c>
      <c r="O30" s="221">
        <v>0.0</v>
      </c>
      <c r="P30" s="2" t="s">
        <v>92</v>
      </c>
      <c r="Q30" s="2" t="s">
        <v>667</v>
      </c>
      <c r="R30" s="222"/>
      <c r="S30" s="221">
        <v>0.0</v>
      </c>
      <c r="T30" s="221">
        <v>0.0</v>
      </c>
      <c r="U30" s="2" t="s">
        <v>92</v>
      </c>
      <c r="V30" s="2" t="s">
        <v>667</v>
      </c>
      <c r="W30" s="222"/>
      <c r="X30" s="221">
        <v>0.0</v>
      </c>
      <c r="Y30" s="221">
        <v>0.0</v>
      </c>
      <c r="Z30" s="223">
        <v>0.0</v>
      </c>
      <c r="AA30" s="223">
        <v>0.0</v>
      </c>
      <c r="AB30" s="223">
        <v>0.0</v>
      </c>
      <c r="AC30" s="223">
        <v>0.0</v>
      </c>
      <c r="AD30" s="224">
        <v>0.0</v>
      </c>
      <c r="AE30" s="174">
        <f t="shared" si="1"/>
        <v>0</v>
      </c>
      <c r="AF30" s="225">
        <f t="shared" si="2"/>
        <v>14.5</v>
      </c>
    </row>
    <row r="31">
      <c r="A31" s="39">
        <v>28.0</v>
      </c>
      <c r="B31" s="62" t="s">
        <v>90</v>
      </c>
      <c r="C31" s="59"/>
      <c r="D31" s="54" t="s">
        <v>199</v>
      </c>
      <c r="E31" s="54" t="s">
        <v>200</v>
      </c>
      <c r="F31" s="218" t="s">
        <v>92</v>
      </c>
      <c r="G31" s="2" t="s">
        <v>667</v>
      </c>
      <c r="H31" s="222"/>
      <c r="I31" s="221">
        <v>0.0</v>
      </c>
      <c r="J31" s="221">
        <v>0.0</v>
      </c>
      <c r="K31" s="2" t="s">
        <v>92</v>
      </c>
      <c r="L31" s="2" t="s">
        <v>667</v>
      </c>
      <c r="M31" s="222"/>
      <c r="N31" s="221">
        <v>0.0</v>
      </c>
      <c r="O31" s="221">
        <v>0.0</v>
      </c>
      <c r="P31" s="2" t="s">
        <v>92</v>
      </c>
      <c r="Q31" s="2" t="s">
        <v>667</v>
      </c>
      <c r="R31" s="222"/>
      <c r="S31" s="221">
        <v>0.0</v>
      </c>
      <c r="T31" s="221">
        <v>0.0</v>
      </c>
      <c r="U31" s="2" t="s">
        <v>92</v>
      </c>
      <c r="V31" s="2" t="s">
        <v>667</v>
      </c>
      <c r="W31" s="222"/>
      <c r="X31" s="221">
        <v>0.0</v>
      </c>
      <c r="Y31" s="221">
        <v>0.0</v>
      </c>
      <c r="Z31" s="223">
        <v>0.0</v>
      </c>
      <c r="AA31" s="223">
        <v>0.0</v>
      </c>
      <c r="AB31" s="223">
        <v>0.0</v>
      </c>
      <c r="AC31" s="223">
        <v>0.0</v>
      </c>
      <c r="AD31" s="224">
        <v>0.0</v>
      </c>
      <c r="AE31" s="174">
        <f t="shared" si="1"/>
        <v>0</v>
      </c>
      <c r="AF31" s="225">
        <f t="shared" si="2"/>
        <v>14.5</v>
      </c>
    </row>
    <row r="32">
      <c r="A32" s="216">
        <v>29.0</v>
      </c>
      <c r="B32" s="62" t="s">
        <v>90</v>
      </c>
      <c r="C32" s="59"/>
      <c r="D32" s="46" t="s">
        <v>206</v>
      </c>
      <c r="E32" s="46" t="s">
        <v>397</v>
      </c>
      <c r="F32" s="218" t="s">
        <v>92</v>
      </c>
      <c r="G32" s="2" t="s">
        <v>667</v>
      </c>
      <c r="H32" s="222"/>
      <c r="I32" s="221">
        <v>0.0</v>
      </c>
      <c r="J32" s="221">
        <v>0.0</v>
      </c>
      <c r="K32" s="2" t="s">
        <v>92</v>
      </c>
      <c r="L32" s="2" t="s">
        <v>667</v>
      </c>
      <c r="M32" s="222"/>
      <c r="N32" s="221">
        <v>0.0</v>
      </c>
      <c r="O32" s="221">
        <v>0.0</v>
      </c>
      <c r="P32" s="2" t="s">
        <v>92</v>
      </c>
      <c r="Q32" s="2" t="s">
        <v>667</v>
      </c>
      <c r="R32" s="222"/>
      <c r="S32" s="221">
        <v>0.0</v>
      </c>
      <c r="T32" s="221">
        <v>0.0</v>
      </c>
      <c r="U32" s="2" t="s">
        <v>92</v>
      </c>
      <c r="V32" s="2" t="s">
        <v>667</v>
      </c>
      <c r="W32" s="222"/>
      <c r="X32" s="221">
        <v>0.0</v>
      </c>
      <c r="Y32" s="221">
        <v>0.0</v>
      </c>
      <c r="Z32" s="223">
        <v>0.0</v>
      </c>
      <c r="AA32" s="223">
        <v>0.0</v>
      </c>
      <c r="AB32" s="223">
        <v>0.0</v>
      </c>
      <c r="AC32" s="223">
        <v>0.0</v>
      </c>
      <c r="AD32" s="224">
        <v>0.0</v>
      </c>
      <c r="AE32" s="174">
        <f t="shared" si="1"/>
        <v>0</v>
      </c>
      <c r="AF32" s="225">
        <f t="shared" si="2"/>
        <v>14.5</v>
      </c>
    </row>
    <row r="33">
      <c r="A33" s="39">
        <v>30.0</v>
      </c>
      <c r="B33" s="62" t="s">
        <v>90</v>
      </c>
      <c r="C33" s="59"/>
      <c r="D33" s="36" t="s">
        <v>210</v>
      </c>
      <c r="E33" s="36" t="s">
        <v>211</v>
      </c>
      <c r="F33" s="218" t="s">
        <v>92</v>
      </c>
      <c r="G33" s="2" t="s">
        <v>667</v>
      </c>
      <c r="H33" s="222"/>
      <c r="I33" s="221">
        <v>0.0</v>
      </c>
      <c r="J33" s="221">
        <v>0.0</v>
      </c>
      <c r="K33" s="2" t="s">
        <v>92</v>
      </c>
      <c r="L33" s="2" t="s">
        <v>667</v>
      </c>
      <c r="M33" s="222"/>
      <c r="N33" s="221">
        <v>0.0</v>
      </c>
      <c r="O33" s="221">
        <v>0.0</v>
      </c>
      <c r="P33" s="2" t="s">
        <v>92</v>
      </c>
      <c r="Q33" s="2" t="s">
        <v>667</v>
      </c>
      <c r="R33" s="222"/>
      <c r="S33" s="221">
        <v>0.0</v>
      </c>
      <c r="T33" s="221">
        <v>0.0</v>
      </c>
      <c r="U33" s="2" t="s">
        <v>92</v>
      </c>
      <c r="V33" s="2" t="s">
        <v>667</v>
      </c>
      <c r="W33" s="222"/>
      <c r="X33" s="221">
        <v>0.0</v>
      </c>
      <c r="Y33" s="221">
        <v>0.0</v>
      </c>
      <c r="Z33" s="223">
        <v>0.0</v>
      </c>
      <c r="AA33" s="223">
        <v>0.0</v>
      </c>
      <c r="AB33" s="223">
        <v>0.0</v>
      </c>
      <c r="AC33" s="223">
        <v>0.0</v>
      </c>
      <c r="AD33" s="224">
        <v>0.0</v>
      </c>
      <c r="AE33" s="174">
        <f t="shared" si="1"/>
        <v>0</v>
      </c>
      <c r="AF33" s="225">
        <f t="shared" si="2"/>
        <v>14.5</v>
      </c>
    </row>
    <row r="34">
      <c r="A34" s="216">
        <v>31.0</v>
      </c>
      <c r="B34" s="62" t="s">
        <v>90</v>
      </c>
      <c r="C34" s="59"/>
      <c r="D34" s="43" t="s">
        <v>219</v>
      </c>
      <c r="E34" s="43" t="s">
        <v>415</v>
      </c>
      <c r="F34" s="218" t="s">
        <v>92</v>
      </c>
      <c r="G34" s="2" t="s">
        <v>667</v>
      </c>
      <c r="H34" s="222"/>
      <c r="I34" s="221">
        <v>0.0</v>
      </c>
      <c r="J34" s="221">
        <v>0.0</v>
      </c>
      <c r="K34" s="2" t="s">
        <v>92</v>
      </c>
      <c r="L34" s="2" t="s">
        <v>667</v>
      </c>
      <c r="M34" s="222"/>
      <c r="N34" s="221">
        <v>0.0</v>
      </c>
      <c r="O34" s="221">
        <v>0.0</v>
      </c>
      <c r="P34" s="2" t="s">
        <v>92</v>
      </c>
      <c r="Q34" s="2" t="s">
        <v>667</v>
      </c>
      <c r="R34" s="222"/>
      <c r="S34" s="221">
        <v>0.0</v>
      </c>
      <c r="T34" s="221">
        <v>0.0</v>
      </c>
      <c r="U34" s="2" t="s">
        <v>92</v>
      </c>
      <c r="V34" s="2" t="s">
        <v>667</v>
      </c>
      <c r="W34" s="222"/>
      <c r="X34" s="221">
        <v>0.0</v>
      </c>
      <c r="Y34" s="221">
        <v>0.0</v>
      </c>
      <c r="Z34" s="223">
        <v>0.0</v>
      </c>
      <c r="AA34" s="223">
        <v>0.0</v>
      </c>
      <c r="AB34" s="223">
        <v>0.0</v>
      </c>
      <c r="AC34" s="223">
        <v>0.0</v>
      </c>
      <c r="AD34" s="224">
        <v>0.0</v>
      </c>
      <c r="AE34" s="174">
        <f t="shared" si="1"/>
        <v>0</v>
      </c>
      <c r="AF34" s="225">
        <f t="shared" si="2"/>
        <v>14.5</v>
      </c>
    </row>
    <row r="35">
      <c r="A35" s="39">
        <v>32.0</v>
      </c>
      <c r="B35" s="62" t="s">
        <v>90</v>
      </c>
      <c r="C35" s="55" t="s">
        <v>99</v>
      </c>
      <c r="D35" s="43" t="s">
        <v>219</v>
      </c>
      <c r="E35" s="43" t="s">
        <v>225</v>
      </c>
      <c r="F35" s="218" t="s">
        <v>92</v>
      </c>
      <c r="G35" s="2" t="s">
        <v>667</v>
      </c>
      <c r="H35" s="222"/>
      <c r="I35" s="221">
        <v>0.0</v>
      </c>
      <c r="J35" s="221">
        <v>0.0</v>
      </c>
      <c r="K35" s="2" t="s">
        <v>92</v>
      </c>
      <c r="L35" s="2" t="s">
        <v>667</v>
      </c>
      <c r="M35" s="222"/>
      <c r="N35" s="221">
        <v>0.0</v>
      </c>
      <c r="O35" s="221">
        <v>0.0</v>
      </c>
      <c r="P35" s="2" t="s">
        <v>92</v>
      </c>
      <c r="Q35" s="2" t="s">
        <v>667</v>
      </c>
      <c r="R35" s="222"/>
      <c r="S35" s="221">
        <v>0.0</v>
      </c>
      <c r="T35" s="221">
        <v>0.0</v>
      </c>
      <c r="U35" s="2" t="s">
        <v>92</v>
      </c>
      <c r="V35" s="2" t="s">
        <v>667</v>
      </c>
      <c r="W35" s="222"/>
      <c r="X35" s="221">
        <v>0.0</v>
      </c>
      <c r="Y35" s="221">
        <v>0.0</v>
      </c>
      <c r="Z35" s="223">
        <v>0.0</v>
      </c>
      <c r="AA35" s="223">
        <v>0.0</v>
      </c>
      <c r="AB35" s="223">
        <v>0.0</v>
      </c>
      <c r="AC35" s="223">
        <v>0.0</v>
      </c>
      <c r="AD35" s="224">
        <v>0.0</v>
      </c>
      <c r="AE35" s="174">
        <f t="shared" si="1"/>
        <v>0</v>
      </c>
      <c r="AF35" s="225">
        <f t="shared" si="2"/>
        <v>14.5</v>
      </c>
    </row>
    <row r="36">
      <c r="A36" s="216">
        <v>33.0</v>
      </c>
      <c r="B36" s="62" t="s">
        <v>90</v>
      </c>
      <c r="C36" s="59"/>
      <c r="D36" s="99" t="s">
        <v>233</v>
      </c>
      <c r="E36" s="99" t="s">
        <v>234</v>
      </c>
      <c r="F36" s="218" t="s">
        <v>92</v>
      </c>
      <c r="G36" s="2" t="s">
        <v>667</v>
      </c>
      <c r="H36" s="222"/>
      <c r="I36" s="221">
        <v>0.0</v>
      </c>
      <c r="J36" s="221">
        <v>0.0</v>
      </c>
      <c r="K36" s="2" t="s">
        <v>92</v>
      </c>
      <c r="L36" s="2" t="s">
        <v>667</v>
      </c>
      <c r="M36" s="222"/>
      <c r="N36" s="221">
        <v>0.0</v>
      </c>
      <c r="O36" s="221">
        <v>0.0</v>
      </c>
      <c r="P36" s="2" t="s">
        <v>92</v>
      </c>
      <c r="Q36" s="2" t="s">
        <v>667</v>
      </c>
      <c r="R36" s="222"/>
      <c r="S36" s="221">
        <v>0.0</v>
      </c>
      <c r="T36" s="221">
        <v>0.0</v>
      </c>
      <c r="U36" s="2" t="s">
        <v>92</v>
      </c>
      <c r="V36" s="2" t="s">
        <v>667</v>
      </c>
      <c r="W36" s="222"/>
      <c r="X36" s="221">
        <v>0.0</v>
      </c>
      <c r="Y36" s="221">
        <v>0.0</v>
      </c>
      <c r="Z36" s="223">
        <v>0.0</v>
      </c>
      <c r="AA36" s="223">
        <v>0.0</v>
      </c>
      <c r="AB36" s="223">
        <v>0.0</v>
      </c>
      <c r="AC36" s="223">
        <v>0.0</v>
      </c>
      <c r="AD36" s="224">
        <v>0.0</v>
      </c>
      <c r="AE36" s="174">
        <f t="shared" si="1"/>
        <v>0</v>
      </c>
      <c r="AF36" s="225">
        <f t="shared" si="2"/>
        <v>14.5</v>
      </c>
    </row>
    <row r="37">
      <c r="A37" s="39">
        <v>34.0</v>
      </c>
      <c r="B37" s="117" t="s">
        <v>90</v>
      </c>
      <c r="C37" s="113"/>
      <c r="D37" s="114" t="s">
        <v>243</v>
      </c>
      <c r="E37" s="114" t="s">
        <v>244</v>
      </c>
      <c r="F37" s="218" t="s">
        <v>92</v>
      </c>
      <c r="G37" s="2" t="s">
        <v>667</v>
      </c>
      <c r="H37" s="222"/>
      <c r="I37" s="221">
        <v>0.0</v>
      </c>
      <c r="J37" s="221">
        <v>0.0</v>
      </c>
      <c r="K37" s="2" t="s">
        <v>92</v>
      </c>
      <c r="L37" s="2" t="s">
        <v>667</v>
      </c>
      <c r="M37" s="222"/>
      <c r="N37" s="221">
        <v>0.0</v>
      </c>
      <c r="O37" s="221">
        <v>0.0</v>
      </c>
      <c r="P37" s="2" t="s">
        <v>92</v>
      </c>
      <c r="Q37" s="2" t="s">
        <v>667</v>
      </c>
      <c r="R37" s="222"/>
      <c r="S37" s="221">
        <v>0.0</v>
      </c>
      <c r="T37" s="221">
        <v>0.0</v>
      </c>
      <c r="U37" s="2" t="s">
        <v>92</v>
      </c>
      <c r="V37" s="2" t="s">
        <v>667</v>
      </c>
      <c r="W37" s="222"/>
      <c r="X37" s="221">
        <v>0.0</v>
      </c>
      <c r="Y37" s="221">
        <v>0.0</v>
      </c>
      <c r="Z37" s="223">
        <v>0.0</v>
      </c>
      <c r="AA37" s="223">
        <v>0.0</v>
      </c>
      <c r="AB37" s="223">
        <v>0.0</v>
      </c>
      <c r="AC37" s="223">
        <v>0.0</v>
      </c>
      <c r="AD37" s="224">
        <v>0.0</v>
      </c>
      <c r="AE37" s="174">
        <f t="shared" si="1"/>
        <v>0</v>
      </c>
      <c r="AF37" s="225">
        <f t="shared" si="2"/>
        <v>14.5</v>
      </c>
    </row>
    <row r="38">
      <c r="A38" s="216">
        <v>35.0</v>
      </c>
      <c r="B38" s="62" t="s">
        <v>90</v>
      </c>
      <c r="C38" s="55" t="s">
        <v>99</v>
      </c>
      <c r="D38" s="43" t="s">
        <v>435</v>
      </c>
      <c r="E38" s="43" t="s">
        <v>255</v>
      </c>
      <c r="F38" s="218" t="s">
        <v>92</v>
      </c>
      <c r="G38" s="2" t="s">
        <v>667</v>
      </c>
      <c r="H38" s="222"/>
      <c r="I38" s="221">
        <v>0.0</v>
      </c>
      <c r="J38" s="221">
        <v>0.0</v>
      </c>
      <c r="K38" s="2" t="s">
        <v>92</v>
      </c>
      <c r="L38" s="2" t="s">
        <v>667</v>
      </c>
      <c r="M38" s="222"/>
      <c r="N38" s="221">
        <v>0.0</v>
      </c>
      <c r="O38" s="221">
        <v>0.0</v>
      </c>
      <c r="P38" s="2" t="s">
        <v>92</v>
      </c>
      <c r="Q38" s="2" t="s">
        <v>667</v>
      </c>
      <c r="R38" s="222"/>
      <c r="S38" s="221">
        <v>0.0</v>
      </c>
      <c r="T38" s="221">
        <v>0.0</v>
      </c>
      <c r="U38" s="2" t="s">
        <v>92</v>
      </c>
      <c r="V38" s="2" t="s">
        <v>667</v>
      </c>
      <c r="W38" s="222"/>
      <c r="X38" s="221">
        <v>0.0</v>
      </c>
      <c r="Y38" s="221">
        <v>0.0</v>
      </c>
      <c r="Z38" s="223">
        <v>0.0</v>
      </c>
      <c r="AA38" s="223">
        <v>0.0</v>
      </c>
      <c r="AB38" s="223">
        <v>0.0</v>
      </c>
      <c r="AC38" s="223">
        <v>0.0</v>
      </c>
      <c r="AD38" s="224">
        <v>0.0</v>
      </c>
      <c r="AE38" s="174">
        <f t="shared" si="1"/>
        <v>0</v>
      </c>
      <c r="AF38" s="225">
        <f t="shared" si="2"/>
        <v>14.5</v>
      </c>
    </row>
    <row r="39">
      <c r="A39" s="39">
        <v>36.0</v>
      </c>
      <c r="B39" s="62" t="s">
        <v>90</v>
      </c>
      <c r="C39" s="59"/>
      <c r="D39" s="46" t="s">
        <v>261</v>
      </c>
      <c r="E39" s="46" t="s">
        <v>444</v>
      </c>
      <c r="F39" s="218" t="s">
        <v>92</v>
      </c>
      <c r="G39" s="2" t="s">
        <v>667</v>
      </c>
      <c r="H39" s="222"/>
      <c r="I39" s="221">
        <v>0.0</v>
      </c>
      <c r="J39" s="221">
        <v>0.0</v>
      </c>
      <c r="K39" s="2" t="s">
        <v>92</v>
      </c>
      <c r="L39" s="2" t="s">
        <v>667</v>
      </c>
      <c r="M39" s="222"/>
      <c r="N39" s="221">
        <v>0.0</v>
      </c>
      <c r="O39" s="221">
        <v>0.0</v>
      </c>
      <c r="P39" s="2" t="s">
        <v>92</v>
      </c>
      <c r="Q39" s="2" t="s">
        <v>667</v>
      </c>
      <c r="R39" s="222"/>
      <c r="S39" s="221">
        <v>0.0</v>
      </c>
      <c r="T39" s="221">
        <v>0.0</v>
      </c>
      <c r="U39" s="2" t="s">
        <v>92</v>
      </c>
      <c r="V39" s="2" t="s">
        <v>667</v>
      </c>
      <c r="W39" s="222"/>
      <c r="X39" s="221">
        <v>0.0</v>
      </c>
      <c r="Y39" s="221">
        <v>0.0</v>
      </c>
      <c r="Z39" s="223">
        <v>0.0</v>
      </c>
      <c r="AA39" s="223">
        <v>0.0</v>
      </c>
      <c r="AB39" s="223">
        <v>0.0</v>
      </c>
      <c r="AC39" s="223">
        <v>0.0</v>
      </c>
      <c r="AD39" s="224">
        <v>0.0</v>
      </c>
      <c r="AE39" s="174">
        <f t="shared" si="1"/>
        <v>0</v>
      </c>
      <c r="AF39" s="225">
        <f t="shared" si="2"/>
        <v>14.5</v>
      </c>
    </row>
    <row r="40">
      <c r="A40" s="216">
        <v>37.0</v>
      </c>
      <c r="B40" s="62" t="s">
        <v>90</v>
      </c>
      <c r="C40" s="59"/>
      <c r="D40" s="46" t="s">
        <v>270</v>
      </c>
      <c r="E40" s="46" t="s">
        <v>271</v>
      </c>
      <c r="F40" s="218" t="s">
        <v>92</v>
      </c>
      <c r="G40" s="2" t="s">
        <v>667</v>
      </c>
      <c r="H40" s="222"/>
      <c r="I40" s="221">
        <v>0.0</v>
      </c>
      <c r="J40" s="221">
        <v>0.0</v>
      </c>
      <c r="K40" s="2" t="s">
        <v>92</v>
      </c>
      <c r="L40" s="2" t="s">
        <v>667</v>
      </c>
      <c r="M40" s="222"/>
      <c r="N40" s="221">
        <v>0.0</v>
      </c>
      <c r="O40" s="221">
        <v>0.0</v>
      </c>
      <c r="P40" s="2" t="s">
        <v>92</v>
      </c>
      <c r="Q40" s="2" t="s">
        <v>667</v>
      </c>
      <c r="R40" s="222"/>
      <c r="S40" s="221">
        <v>0.0</v>
      </c>
      <c r="T40" s="221">
        <v>0.0</v>
      </c>
      <c r="U40" s="2" t="s">
        <v>92</v>
      </c>
      <c r="V40" s="2" t="s">
        <v>667</v>
      </c>
      <c r="W40" s="222"/>
      <c r="X40" s="221">
        <v>0.0</v>
      </c>
      <c r="Y40" s="221">
        <v>0.0</v>
      </c>
      <c r="Z40" s="223">
        <v>0.0</v>
      </c>
      <c r="AA40" s="223">
        <v>0.0</v>
      </c>
      <c r="AB40" s="223">
        <v>0.0</v>
      </c>
      <c r="AC40" s="223">
        <v>0.0</v>
      </c>
      <c r="AD40" s="224">
        <v>0.0</v>
      </c>
      <c r="AE40" s="174">
        <f t="shared" si="1"/>
        <v>0</v>
      </c>
      <c r="AF40" s="225">
        <f t="shared" si="2"/>
        <v>14.5</v>
      </c>
    </row>
    <row r="41">
      <c r="A41" s="39">
        <v>38.0</v>
      </c>
      <c r="B41" s="105" t="s">
        <v>90</v>
      </c>
      <c r="C41" s="68"/>
      <c r="D41" s="70" t="s">
        <v>275</v>
      </c>
      <c r="E41" s="74" t="s">
        <v>277</v>
      </c>
      <c r="F41" s="218" t="s">
        <v>92</v>
      </c>
      <c r="G41" s="2" t="s">
        <v>667</v>
      </c>
      <c r="H41" s="222"/>
      <c r="I41" s="221">
        <v>0.0</v>
      </c>
      <c r="J41" s="221">
        <v>0.0</v>
      </c>
      <c r="K41" s="2" t="s">
        <v>92</v>
      </c>
      <c r="L41" s="2" t="s">
        <v>667</v>
      </c>
      <c r="M41" s="222"/>
      <c r="N41" s="221">
        <v>0.0</v>
      </c>
      <c r="O41" s="221">
        <v>0.0</v>
      </c>
      <c r="P41" s="2" t="s">
        <v>92</v>
      </c>
      <c r="Q41" s="2" t="s">
        <v>667</v>
      </c>
      <c r="R41" s="222"/>
      <c r="S41" s="221">
        <v>0.0</v>
      </c>
      <c r="T41" s="221">
        <v>0.0</v>
      </c>
      <c r="U41" s="2" t="s">
        <v>92</v>
      </c>
      <c r="V41" s="2" t="s">
        <v>667</v>
      </c>
      <c r="W41" s="222"/>
      <c r="X41" s="221">
        <v>0.0</v>
      </c>
      <c r="Y41" s="221">
        <v>0.0</v>
      </c>
      <c r="Z41" s="223">
        <v>0.0</v>
      </c>
      <c r="AA41" s="223">
        <v>0.0</v>
      </c>
      <c r="AB41" s="223">
        <v>0.0</v>
      </c>
      <c r="AC41" s="223">
        <v>0.0</v>
      </c>
      <c r="AD41" s="224">
        <v>0.0</v>
      </c>
      <c r="AE41" s="174">
        <f t="shared" si="1"/>
        <v>0</v>
      </c>
      <c r="AF41" s="225">
        <f t="shared" si="2"/>
        <v>14.5</v>
      </c>
    </row>
    <row r="42">
      <c r="A42" s="216">
        <v>39.0</v>
      </c>
      <c r="B42" s="62" t="s">
        <v>90</v>
      </c>
      <c r="C42" s="59"/>
      <c r="D42" s="43" t="s">
        <v>281</v>
      </c>
      <c r="E42" s="43" t="s">
        <v>282</v>
      </c>
      <c r="F42" s="218" t="s">
        <v>92</v>
      </c>
      <c r="G42" s="2" t="s">
        <v>667</v>
      </c>
      <c r="H42" s="222"/>
      <c r="I42" s="221">
        <v>0.0</v>
      </c>
      <c r="J42" s="221">
        <v>0.0</v>
      </c>
      <c r="K42" s="2" t="s">
        <v>92</v>
      </c>
      <c r="L42" s="2" t="s">
        <v>667</v>
      </c>
      <c r="M42" s="222"/>
      <c r="N42" s="221">
        <v>0.0</v>
      </c>
      <c r="O42" s="221">
        <v>0.0</v>
      </c>
      <c r="P42" s="2" t="s">
        <v>92</v>
      </c>
      <c r="Q42" s="2" t="s">
        <v>667</v>
      </c>
      <c r="R42" s="222"/>
      <c r="S42" s="221">
        <v>0.0</v>
      </c>
      <c r="T42" s="221">
        <v>0.0</v>
      </c>
      <c r="U42" s="2" t="s">
        <v>92</v>
      </c>
      <c r="V42" s="2" t="s">
        <v>667</v>
      </c>
      <c r="W42" s="222"/>
      <c r="X42" s="221">
        <v>0.0</v>
      </c>
      <c r="Y42" s="221">
        <v>0.0</v>
      </c>
      <c r="Z42" s="223">
        <v>0.0</v>
      </c>
      <c r="AA42" s="223">
        <v>0.0</v>
      </c>
      <c r="AB42" s="223">
        <v>0.0</v>
      </c>
      <c r="AC42" s="223">
        <v>0.0</v>
      </c>
      <c r="AD42" s="224">
        <v>0.0</v>
      </c>
      <c r="AE42" s="174">
        <f t="shared" si="1"/>
        <v>0</v>
      </c>
      <c r="AF42" s="225">
        <f t="shared" si="2"/>
        <v>14.5</v>
      </c>
    </row>
    <row r="43">
      <c r="A43" s="39">
        <v>40.0</v>
      </c>
      <c r="B43" s="117" t="s">
        <v>90</v>
      </c>
      <c r="C43" s="113"/>
      <c r="D43" s="115" t="s">
        <v>289</v>
      </c>
      <c r="E43" s="115" t="s">
        <v>246</v>
      </c>
      <c r="F43" s="218" t="s">
        <v>92</v>
      </c>
      <c r="G43" s="2" t="s">
        <v>667</v>
      </c>
      <c r="H43" s="222"/>
      <c r="I43" s="221">
        <v>0.0</v>
      </c>
      <c r="J43" s="221">
        <v>0.0</v>
      </c>
      <c r="K43" s="2" t="s">
        <v>92</v>
      </c>
      <c r="L43" s="2" t="s">
        <v>667</v>
      </c>
      <c r="M43" s="222"/>
      <c r="N43" s="221">
        <v>0.0</v>
      </c>
      <c r="O43" s="221">
        <v>0.0</v>
      </c>
      <c r="P43" s="2" t="s">
        <v>92</v>
      </c>
      <c r="Q43" s="2" t="s">
        <v>667</v>
      </c>
      <c r="R43" s="222"/>
      <c r="S43" s="221">
        <v>0.0</v>
      </c>
      <c r="T43" s="221">
        <v>0.0</v>
      </c>
      <c r="U43" s="2" t="s">
        <v>92</v>
      </c>
      <c r="V43" s="2" t="s">
        <v>667</v>
      </c>
      <c r="W43" s="222"/>
      <c r="X43" s="221">
        <v>0.0</v>
      </c>
      <c r="Y43" s="221">
        <v>0.0</v>
      </c>
      <c r="Z43" s="223">
        <v>0.0</v>
      </c>
      <c r="AA43" s="223">
        <v>0.0</v>
      </c>
      <c r="AB43" s="223">
        <v>0.0</v>
      </c>
      <c r="AC43" s="223">
        <v>0.0</v>
      </c>
      <c r="AD43" s="224">
        <v>0.0</v>
      </c>
      <c r="AE43" s="174">
        <f t="shared" si="1"/>
        <v>0</v>
      </c>
      <c r="AF43" s="225">
        <f t="shared" si="2"/>
        <v>14.5</v>
      </c>
    </row>
    <row r="44">
      <c r="A44" s="216">
        <v>41.0</v>
      </c>
      <c r="B44" s="62" t="s">
        <v>90</v>
      </c>
      <c r="C44" s="59"/>
      <c r="D44" s="46" t="s">
        <v>294</v>
      </c>
      <c r="E44" s="46" t="s">
        <v>295</v>
      </c>
      <c r="F44" s="218" t="s">
        <v>92</v>
      </c>
      <c r="G44" s="2" t="s">
        <v>667</v>
      </c>
      <c r="H44" s="222"/>
      <c r="I44" s="221">
        <v>0.0</v>
      </c>
      <c r="J44" s="221">
        <v>0.0</v>
      </c>
      <c r="K44" s="2" t="s">
        <v>92</v>
      </c>
      <c r="L44" s="2" t="s">
        <v>667</v>
      </c>
      <c r="M44" s="222"/>
      <c r="N44" s="221">
        <v>0.0</v>
      </c>
      <c r="O44" s="221">
        <v>0.0</v>
      </c>
      <c r="P44" s="2" t="s">
        <v>92</v>
      </c>
      <c r="Q44" s="2" t="s">
        <v>667</v>
      </c>
      <c r="R44" s="222"/>
      <c r="S44" s="221">
        <v>0.0</v>
      </c>
      <c r="T44" s="221">
        <v>0.0</v>
      </c>
      <c r="U44" s="2" t="s">
        <v>92</v>
      </c>
      <c r="V44" s="2" t="s">
        <v>667</v>
      </c>
      <c r="W44" s="222"/>
      <c r="X44" s="221">
        <v>0.0</v>
      </c>
      <c r="Y44" s="221">
        <v>0.0</v>
      </c>
      <c r="Z44" s="223">
        <v>0.0</v>
      </c>
      <c r="AA44" s="223">
        <v>0.0</v>
      </c>
      <c r="AB44" s="223">
        <v>0.0</v>
      </c>
      <c r="AC44" s="223">
        <v>0.0</v>
      </c>
      <c r="AD44" s="224">
        <v>0.0</v>
      </c>
      <c r="AE44" s="174">
        <f t="shared" si="1"/>
        <v>0</v>
      </c>
      <c r="AF44" s="225">
        <f t="shared" si="2"/>
        <v>14.5</v>
      </c>
    </row>
    <row r="45">
      <c r="A45" s="39">
        <v>42.0</v>
      </c>
      <c r="B45" s="62" t="s">
        <v>90</v>
      </c>
      <c r="C45" s="59"/>
      <c r="D45" s="36" t="s">
        <v>304</v>
      </c>
      <c r="E45" s="36" t="s">
        <v>305</v>
      </c>
      <c r="F45" s="218" t="s">
        <v>92</v>
      </c>
      <c r="G45" s="2" t="s">
        <v>667</v>
      </c>
      <c r="H45" s="222"/>
      <c r="I45" s="221">
        <v>0.0</v>
      </c>
      <c r="J45" s="221">
        <v>0.0</v>
      </c>
      <c r="K45" s="2" t="s">
        <v>92</v>
      </c>
      <c r="L45" s="2" t="s">
        <v>667</v>
      </c>
      <c r="M45" s="222"/>
      <c r="N45" s="221">
        <v>0.0</v>
      </c>
      <c r="O45" s="221">
        <v>0.0</v>
      </c>
      <c r="P45" s="2" t="s">
        <v>92</v>
      </c>
      <c r="Q45" s="2" t="s">
        <v>667</v>
      </c>
      <c r="R45" s="222"/>
      <c r="S45" s="221">
        <v>0.0</v>
      </c>
      <c r="T45" s="221">
        <v>0.0</v>
      </c>
      <c r="U45" s="2" t="s">
        <v>92</v>
      </c>
      <c r="V45" s="2" t="s">
        <v>667</v>
      </c>
      <c r="W45" s="222"/>
      <c r="X45" s="221">
        <v>0.0</v>
      </c>
      <c r="Y45" s="221">
        <v>0.0</v>
      </c>
      <c r="Z45" s="223">
        <v>0.0</v>
      </c>
      <c r="AA45" s="223">
        <v>0.0</v>
      </c>
      <c r="AB45" s="223">
        <v>0.0</v>
      </c>
      <c r="AC45" s="223">
        <v>0.0</v>
      </c>
      <c r="AD45" s="224">
        <v>0.0</v>
      </c>
      <c r="AE45" s="174">
        <f t="shared" si="1"/>
        <v>0</v>
      </c>
      <c r="AF45" s="225">
        <f t="shared" si="2"/>
        <v>14.5</v>
      </c>
    </row>
    <row r="46">
      <c r="A46" s="216">
        <v>43.0</v>
      </c>
      <c r="B46" s="62" t="s">
        <v>90</v>
      </c>
      <c r="C46" s="55" t="s">
        <v>99</v>
      </c>
      <c r="D46" s="46" t="s">
        <v>313</v>
      </c>
      <c r="E46" s="46" t="s">
        <v>315</v>
      </c>
      <c r="F46" s="218" t="s">
        <v>92</v>
      </c>
      <c r="G46" s="2" t="s">
        <v>667</v>
      </c>
      <c r="H46" s="222"/>
      <c r="I46" s="221">
        <v>0.0</v>
      </c>
      <c r="J46" s="221">
        <v>0.0</v>
      </c>
      <c r="K46" s="2" t="s">
        <v>92</v>
      </c>
      <c r="L46" s="2" t="s">
        <v>667</v>
      </c>
      <c r="M46" s="222"/>
      <c r="N46" s="221">
        <v>0.0</v>
      </c>
      <c r="O46" s="221">
        <v>0.0</v>
      </c>
      <c r="P46" s="2" t="s">
        <v>92</v>
      </c>
      <c r="Q46" s="2" t="s">
        <v>667</v>
      </c>
      <c r="R46" s="222"/>
      <c r="S46" s="221">
        <v>0.0</v>
      </c>
      <c r="T46" s="221">
        <v>0.0</v>
      </c>
      <c r="U46" s="2" t="s">
        <v>92</v>
      </c>
      <c r="V46" s="2" t="s">
        <v>667</v>
      </c>
      <c r="W46" s="222"/>
      <c r="X46" s="221">
        <v>0.0</v>
      </c>
      <c r="Y46" s="221">
        <v>0.0</v>
      </c>
      <c r="Z46" s="223">
        <v>0.0</v>
      </c>
      <c r="AA46" s="223">
        <v>0.0</v>
      </c>
      <c r="AB46" s="223">
        <v>0.0</v>
      </c>
      <c r="AC46" s="223">
        <v>0.0</v>
      </c>
      <c r="AD46" s="224">
        <v>0.0</v>
      </c>
      <c r="AE46" s="174">
        <f t="shared" si="1"/>
        <v>0</v>
      </c>
      <c r="AF46" s="225">
        <f t="shared" si="2"/>
        <v>14.5</v>
      </c>
    </row>
    <row r="47">
      <c r="A47" s="39">
        <v>44.0</v>
      </c>
      <c r="B47" s="62" t="s">
        <v>90</v>
      </c>
      <c r="C47" s="59"/>
      <c r="D47" s="46" t="s">
        <v>328</v>
      </c>
      <c r="E47" s="46" t="s">
        <v>321</v>
      </c>
      <c r="F47" s="218" t="s">
        <v>92</v>
      </c>
      <c r="G47" s="2" t="s">
        <v>667</v>
      </c>
      <c r="H47" s="222"/>
      <c r="I47" s="221">
        <v>0.0</v>
      </c>
      <c r="J47" s="221">
        <v>0.0</v>
      </c>
      <c r="K47" s="2" t="s">
        <v>92</v>
      </c>
      <c r="L47" s="2" t="s">
        <v>667</v>
      </c>
      <c r="M47" s="222"/>
      <c r="N47" s="221">
        <v>0.0</v>
      </c>
      <c r="O47" s="221">
        <v>0.0</v>
      </c>
      <c r="P47" s="2" t="s">
        <v>92</v>
      </c>
      <c r="Q47" s="2" t="s">
        <v>667</v>
      </c>
      <c r="R47" s="222"/>
      <c r="S47" s="221">
        <v>0.0</v>
      </c>
      <c r="T47" s="221">
        <v>0.0</v>
      </c>
      <c r="U47" s="2" t="s">
        <v>92</v>
      </c>
      <c r="V47" s="2" t="s">
        <v>667</v>
      </c>
      <c r="W47" s="222"/>
      <c r="X47" s="221">
        <v>0.0</v>
      </c>
      <c r="Y47" s="221">
        <v>0.0</v>
      </c>
      <c r="Z47" s="223">
        <v>0.0</v>
      </c>
      <c r="AA47" s="223">
        <v>0.0</v>
      </c>
      <c r="AB47" s="223">
        <v>0.0</v>
      </c>
      <c r="AC47" s="223">
        <v>0.0</v>
      </c>
      <c r="AD47" s="224">
        <v>0.0</v>
      </c>
      <c r="AE47" s="174">
        <f t="shared" si="1"/>
        <v>0</v>
      </c>
      <c r="AF47" s="225">
        <f t="shared" si="2"/>
        <v>14.5</v>
      </c>
    </row>
    <row r="48">
      <c r="A48" s="216">
        <v>45.0</v>
      </c>
      <c r="B48" s="62" t="s">
        <v>90</v>
      </c>
      <c r="C48" s="59"/>
      <c r="D48" s="46" t="s">
        <v>337</v>
      </c>
      <c r="E48" s="46" t="s">
        <v>488</v>
      </c>
      <c r="F48" s="218" t="s">
        <v>92</v>
      </c>
      <c r="G48" s="2" t="s">
        <v>667</v>
      </c>
      <c r="H48" s="222"/>
      <c r="I48" s="221">
        <v>0.0</v>
      </c>
      <c r="J48" s="221">
        <v>0.0</v>
      </c>
      <c r="K48" s="2" t="s">
        <v>92</v>
      </c>
      <c r="L48" s="2" t="s">
        <v>667</v>
      </c>
      <c r="M48" s="222"/>
      <c r="N48" s="221">
        <v>0.0</v>
      </c>
      <c r="O48" s="221">
        <v>0.0</v>
      </c>
      <c r="P48" s="2" t="s">
        <v>92</v>
      </c>
      <c r="Q48" s="2" t="s">
        <v>667</v>
      </c>
      <c r="R48" s="222"/>
      <c r="S48" s="221">
        <v>0.0</v>
      </c>
      <c r="T48" s="221">
        <v>0.0</v>
      </c>
      <c r="U48" s="2" t="s">
        <v>92</v>
      </c>
      <c r="V48" s="2" t="s">
        <v>667</v>
      </c>
      <c r="W48" s="222"/>
      <c r="X48" s="221">
        <v>0.0</v>
      </c>
      <c r="Y48" s="221">
        <v>0.0</v>
      </c>
      <c r="Z48" s="223">
        <v>0.0</v>
      </c>
      <c r="AA48" s="223">
        <v>0.0</v>
      </c>
      <c r="AB48" s="223">
        <v>0.0</v>
      </c>
      <c r="AC48" s="223">
        <v>0.0</v>
      </c>
      <c r="AD48" s="224">
        <v>0.0</v>
      </c>
      <c r="AE48" s="174">
        <f t="shared" si="1"/>
        <v>0</v>
      </c>
      <c r="AF48" s="225">
        <f t="shared" si="2"/>
        <v>14.5</v>
      </c>
    </row>
    <row r="49">
      <c r="A49" s="39">
        <v>46.0</v>
      </c>
      <c r="B49" s="62" t="s">
        <v>90</v>
      </c>
      <c r="C49" s="55" t="s">
        <v>99</v>
      </c>
      <c r="D49" s="46" t="s">
        <v>343</v>
      </c>
      <c r="E49" s="46" t="s">
        <v>166</v>
      </c>
      <c r="F49" s="218" t="s">
        <v>92</v>
      </c>
      <c r="G49" s="2" t="s">
        <v>667</v>
      </c>
      <c r="H49" s="222"/>
      <c r="I49" s="221">
        <v>0.0</v>
      </c>
      <c r="J49" s="221">
        <v>0.0</v>
      </c>
      <c r="K49" s="2" t="s">
        <v>92</v>
      </c>
      <c r="L49" s="2" t="s">
        <v>667</v>
      </c>
      <c r="M49" s="222"/>
      <c r="N49" s="221">
        <v>0.0</v>
      </c>
      <c r="O49" s="221">
        <v>0.0</v>
      </c>
      <c r="P49" s="2" t="s">
        <v>92</v>
      </c>
      <c r="Q49" s="2" t="s">
        <v>667</v>
      </c>
      <c r="R49" s="222"/>
      <c r="S49" s="221">
        <v>0.0</v>
      </c>
      <c r="T49" s="221">
        <v>0.0</v>
      </c>
      <c r="U49" s="2" t="s">
        <v>92</v>
      </c>
      <c r="V49" s="2" t="s">
        <v>667</v>
      </c>
      <c r="W49" s="222"/>
      <c r="X49" s="221">
        <v>0.0</v>
      </c>
      <c r="Y49" s="221">
        <v>0.0</v>
      </c>
      <c r="Z49" s="223">
        <v>0.0</v>
      </c>
      <c r="AA49" s="223">
        <v>0.0</v>
      </c>
      <c r="AB49" s="223">
        <v>0.0</v>
      </c>
      <c r="AC49" s="223">
        <v>0.0</v>
      </c>
      <c r="AD49" s="224">
        <v>0.0</v>
      </c>
      <c r="AE49" s="174">
        <f t="shared" si="1"/>
        <v>0</v>
      </c>
      <c r="AF49" s="225">
        <f t="shared" si="2"/>
        <v>14.5</v>
      </c>
    </row>
    <row r="50">
      <c r="A50" s="216">
        <v>47.0</v>
      </c>
      <c r="B50" s="62" t="s">
        <v>90</v>
      </c>
      <c r="C50" s="59"/>
      <c r="D50" s="46" t="s">
        <v>352</v>
      </c>
      <c r="E50" s="46" t="s">
        <v>353</v>
      </c>
      <c r="F50" s="218" t="s">
        <v>92</v>
      </c>
      <c r="G50" s="2" t="s">
        <v>667</v>
      </c>
      <c r="H50" s="222"/>
      <c r="I50" s="221">
        <v>0.0</v>
      </c>
      <c r="J50" s="221">
        <v>0.0</v>
      </c>
      <c r="K50" s="2" t="s">
        <v>92</v>
      </c>
      <c r="L50" s="2" t="s">
        <v>667</v>
      </c>
      <c r="M50" s="222"/>
      <c r="N50" s="221">
        <v>0.0</v>
      </c>
      <c r="O50" s="221">
        <v>0.0</v>
      </c>
      <c r="P50" s="2" t="s">
        <v>92</v>
      </c>
      <c r="Q50" s="2" t="s">
        <v>667</v>
      </c>
      <c r="R50" s="222"/>
      <c r="S50" s="221">
        <v>0.0</v>
      </c>
      <c r="T50" s="221">
        <v>0.0</v>
      </c>
      <c r="U50" s="2" t="s">
        <v>92</v>
      </c>
      <c r="V50" s="2" t="s">
        <v>667</v>
      </c>
      <c r="W50" s="222"/>
      <c r="X50" s="221">
        <v>0.0</v>
      </c>
      <c r="Y50" s="221">
        <v>0.0</v>
      </c>
      <c r="Z50" s="223">
        <v>0.0</v>
      </c>
      <c r="AA50" s="223">
        <v>0.0</v>
      </c>
      <c r="AB50" s="223">
        <v>0.0</v>
      </c>
      <c r="AC50" s="223">
        <v>0.0</v>
      </c>
      <c r="AD50" s="224">
        <v>0.0</v>
      </c>
      <c r="AE50" s="174">
        <f t="shared" si="1"/>
        <v>0</v>
      </c>
      <c r="AF50" s="225">
        <f t="shared" si="2"/>
        <v>14.5</v>
      </c>
    </row>
    <row r="51">
      <c r="A51" s="39">
        <v>48.0</v>
      </c>
      <c r="B51" s="62" t="s">
        <v>90</v>
      </c>
      <c r="C51" s="59"/>
      <c r="D51" s="36" t="s">
        <v>363</v>
      </c>
      <c r="E51" s="36" t="s">
        <v>364</v>
      </c>
      <c r="F51" s="218" t="s">
        <v>92</v>
      </c>
      <c r="G51" s="2" t="s">
        <v>667</v>
      </c>
      <c r="H51" s="222"/>
      <c r="I51" s="221">
        <v>0.0</v>
      </c>
      <c r="J51" s="221">
        <v>0.0</v>
      </c>
      <c r="K51" s="2" t="s">
        <v>92</v>
      </c>
      <c r="L51" s="2" t="s">
        <v>667</v>
      </c>
      <c r="M51" s="222"/>
      <c r="N51" s="221">
        <v>0.0</v>
      </c>
      <c r="O51" s="221">
        <v>0.0</v>
      </c>
      <c r="P51" s="2" t="s">
        <v>92</v>
      </c>
      <c r="Q51" s="2" t="s">
        <v>667</v>
      </c>
      <c r="R51" s="222"/>
      <c r="S51" s="221">
        <v>0.0</v>
      </c>
      <c r="T51" s="221">
        <v>0.0</v>
      </c>
      <c r="U51" s="2" t="s">
        <v>92</v>
      </c>
      <c r="V51" s="2" t="s">
        <v>667</v>
      </c>
      <c r="W51" s="222"/>
      <c r="X51" s="221">
        <v>0.0</v>
      </c>
      <c r="Y51" s="221">
        <v>0.0</v>
      </c>
      <c r="Z51" s="223">
        <v>0.0</v>
      </c>
      <c r="AA51" s="223">
        <v>0.0</v>
      </c>
      <c r="AB51" s="223">
        <v>0.0</v>
      </c>
      <c r="AC51" s="223">
        <v>0.0</v>
      </c>
      <c r="AD51" s="224">
        <v>0.0</v>
      </c>
      <c r="AE51" s="174">
        <f t="shared" si="1"/>
        <v>0</v>
      </c>
      <c r="AF51" s="225">
        <f t="shared" si="2"/>
        <v>14.5</v>
      </c>
    </row>
    <row r="52">
      <c r="A52" s="216">
        <v>49.0</v>
      </c>
      <c r="B52" s="62" t="s">
        <v>90</v>
      </c>
      <c r="C52" s="59"/>
      <c r="D52" s="46" t="s">
        <v>372</v>
      </c>
      <c r="E52" s="46" t="s">
        <v>373</v>
      </c>
      <c r="F52" s="218" t="s">
        <v>92</v>
      </c>
      <c r="G52" s="2" t="s">
        <v>667</v>
      </c>
      <c r="H52" s="222"/>
      <c r="I52" s="221">
        <v>0.0</v>
      </c>
      <c r="J52" s="221">
        <v>0.0</v>
      </c>
      <c r="K52" s="2" t="s">
        <v>92</v>
      </c>
      <c r="L52" s="2" t="s">
        <v>667</v>
      </c>
      <c r="M52" s="222"/>
      <c r="N52" s="221">
        <v>0.0</v>
      </c>
      <c r="O52" s="221">
        <v>0.0</v>
      </c>
      <c r="P52" s="2" t="s">
        <v>92</v>
      </c>
      <c r="Q52" s="2" t="s">
        <v>667</v>
      </c>
      <c r="R52" s="222"/>
      <c r="S52" s="221">
        <v>0.0</v>
      </c>
      <c r="T52" s="221">
        <v>0.0</v>
      </c>
      <c r="U52" s="2" t="s">
        <v>92</v>
      </c>
      <c r="V52" s="2" t="s">
        <v>667</v>
      </c>
      <c r="W52" s="222"/>
      <c r="X52" s="221">
        <v>0.0</v>
      </c>
      <c r="Y52" s="221">
        <v>0.0</v>
      </c>
      <c r="Z52" s="223">
        <v>0.0</v>
      </c>
      <c r="AA52" s="223">
        <v>0.0</v>
      </c>
      <c r="AB52" s="223">
        <v>0.0</v>
      </c>
      <c r="AC52" s="223">
        <v>0.0</v>
      </c>
      <c r="AD52" s="224">
        <v>0.0</v>
      </c>
      <c r="AE52" s="174">
        <f t="shared" si="1"/>
        <v>0</v>
      </c>
      <c r="AF52" s="225">
        <f t="shared" si="2"/>
        <v>14.5</v>
      </c>
    </row>
    <row r="53">
      <c r="A53" s="39">
        <v>50.0</v>
      </c>
      <c r="B53" s="62" t="s">
        <v>90</v>
      </c>
      <c r="C53" s="59"/>
      <c r="D53" s="46" t="s">
        <v>378</v>
      </c>
      <c r="E53" s="46" t="s">
        <v>380</v>
      </c>
      <c r="F53" s="218" t="s">
        <v>92</v>
      </c>
      <c r="G53" s="2" t="s">
        <v>667</v>
      </c>
      <c r="H53" s="222"/>
      <c r="I53" s="221">
        <v>0.0</v>
      </c>
      <c r="J53" s="221">
        <v>0.0</v>
      </c>
      <c r="K53" s="2" t="s">
        <v>92</v>
      </c>
      <c r="L53" s="2" t="s">
        <v>667</v>
      </c>
      <c r="M53" s="222"/>
      <c r="N53" s="221">
        <v>0.0</v>
      </c>
      <c r="O53" s="221">
        <v>0.0</v>
      </c>
      <c r="P53" s="2" t="s">
        <v>92</v>
      </c>
      <c r="Q53" s="2" t="s">
        <v>667</v>
      </c>
      <c r="R53" s="222"/>
      <c r="S53" s="221">
        <v>0.0</v>
      </c>
      <c r="T53" s="221">
        <v>0.0</v>
      </c>
      <c r="U53" s="2" t="s">
        <v>92</v>
      </c>
      <c r="V53" s="2" t="s">
        <v>667</v>
      </c>
      <c r="W53" s="222"/>
      <c r="X53" s="221">
        <v>0.0</v>
      </c>
      <c r="Y53" s="221">
        <v>0.0</v>
      </c>
      <c r="Z53" s="223">
        <v>0.0</v>
      </c>
      <c r="AA53" s="223">
        <v>0.0</v>
      </c>
      <c r="AB53" s="223">
        <v>0.0</v>
      </c>
      <c r="AC53" s="223">
        <v>0.0</v>
      </c>
      <c r="AD53" s="224">
        <v>0.0</v>
      </c>
      <c r="AE53" s="174">
        <f t="shared" si="1"/>
        <v>0</v>
      </c>
      <c r="AF53" s="225">
        <f t="shared" si="2"/>
        <v>14.5</v>
      </c>
    </row>
    <row r="54">
      <c r="A54" s="216">
        <v>51.0</v>
      </c>
      <c r="B54" s="62" t="s">
        <v>90</v>
      </c>
      <c r="C54" s="59"/>
      <c r="D54" s="46" t="s">
        <v>382</v>
      </c>
      <c r="E54" s="46" t="s">
        <v>527</v>
      </c>
      <c r="F54" s="218" t="s">
        <v>92</v>
      </c>
      <c r="G54" s="2" t="s">
        <v>667</v>
      </c>
      <c r="H54" s="222"/>
      <c r="I54" s="221">
        <v>0.0</v>
      </c>
      <c r="J54" s="221">
        <v>0.0</v>
      </c>
      <c r="K54" s="2" t="s">
        <v>92</v>
      </c>
      <c r="L54" s="2" t="s">
        <v>667</v>
      </c>
      <c r="M54" s="222"/>
      <c r="N54" s="221">
        <v>0.0</v>
      </c>
      <c r="O54" s="221">
        <v>0.0</v>
      </c>
      <c r="P54" s="2" t="s">
        <v>92</v>
      </c>
      <c r="Q54" s="2" t="s">
        <v>667</v>
      </c>
      <c r="R54" s="222"/>
      <c r="S54" s="221">
        <v>0.0</v>
      </c>
      <c r="T54" s="221">
        <v>0.0</v>
      </c>
      <c r="U54" s="2" t="s">
        <v>92</v>
      </c>
      <c r="V54" s="2" t="s">
        <v>667</v>
      </c>
      <c r="W54" s="222"/>
      <c r="X54" s="221">
        <v>0.0</v>
      </c>
      <c r="Y54" s="221">
        <v>0.0</v>
      </c>
      <c r="Z54" s="223">
        <v>0.0</v>
      </c>
      <c r="AA54" s="223">
        <v>0.0</v>
      </c>
      <c r="AB54" s="223">
        <v>0.0</v>
      </c>
      <c r="AC54" s="223">
        <v>0.0</v>
      </c>
      <c r="AD54" s="224">
        <v>0.0</v>
      </c>
      <c r="AE54" s="174">
        <f t="shared" si="1"/>
        <v>0</v>
      </c>
      <c r="AF54" s="225">
        <f t="shared" si="2"/>
        <v>14.5</v>
      </c>
    </row>
    <row r="55">
      <c r="A55" s="39">
        <v>52.0</v>
      </c>
      <c r="B55" s="62" t="s">
        <v>90</v>
      </c>
      <c r="C55" s="59"/>
      <c r="D55" s="29" t="s">
        <v>386</v>
      </c>
      <c r="E55" s="29" t="s">
        <v>387</v>
      </c>
      <c r="F55" s="218" t="s">
        <v>92</v>
      </c>
      <c r="G55" s="2" t="s">
        <v>667</v>
      </c>
      <c r="H55" s="222"/>
      <c r="I55" s="221">
        <v>0.0</v>
      </c>
      <c r="J55" s="221">
        <v>0.0</v>
      </c>
      <c r="K55" s="2" t="s">
        <v>92</v>
      </c>
      <c r="L55" s="2" t="s">
        <v>667</v>
      </c>
      <c r="M55" s="222"/>
      <c r="N55" s="221">
        <v>0.0</v>
      </c>
      <c r="O55" s="221">
        <v>0.0</v>
      </c>
      <c r="P55" s="2" t="s">
        <v>92</v>
      </c>
      <c r="Q55" s="2" t="s">
        <v>667</v>
      </c>
      <c r="R55" s="222"/>
      <c r="S55" s="221">
        <v>0.0</v>
      </c>
      <c r="T55" s="221">
        <v>0.0</v>
      </c>
      <c r="U55" s="2" t="s">
        <v>92</v>
      </c>
      <c r="V55" s="2" t="s">
        <v>667</v>
      </c>
      <c r="W55" s="222"/>
      <c r="X55" s="221">
        <v>0.0</v>
      </c>
      <c r="Y55" s="221">
        <v>0.0</v>
      </c>
      <c r="Z55" s="223">
        <v>0.0</v>
      </c>
      <c r="AA55" s="223">
        <v>0.0</v>
      </c>
      <c r="AB55" s="223">
        <v>0.0</v>
      </c>
      <c r="AC55" s="223">
        <v>0.0</v>
      </c>
      <c r="AD55" s="224">
        <v>0.0</v>
      </c>
      <c r="AE55" s="174">
        <f t="shared" si="1"/>
        <v>0</v>
      </c>
      <c r="AF55" s="225">
        <f t="shared" si="2"/>
        <v>14.5</v>
      </c>
    </row>
    <row r="56">
      <c r="A56" s="216">
        <v>53.0</v>
      </c>
      <c r="B56" s="121" t="s">
        <v>90</v>
      </c>
      <c r="C56" s="57"/>
      <c r="D56" s="46" t="s">
        <v>390</v>
      </c>
      <c r="E56" s="46" t="s">
        <v>391</v>
      </c>
      <c r="F56" s="218" t="s">
        <v>92</v>
      </c>
      <c r="G56" s="2" t="s">
        <v>667</v>
      </c>
      <c r="H56" s="222"/>
      <c r="I56" s="221">
        <v>0.0</v>
      </c>
      <c r="J56" s="221">
        <v>0.0</v>
      </c>
      <c r="K56" s="2" t="s">
        <v>92</v>
      </c>
      <c r="L56" s="2" t="s">
        <v>667</v>
      </c>
      <c r="M56" s="222"/>
      <c r="N56" s="221">
        <v>0.0</v>
      </c>
      <c r="O56" s="221">
        <v>0.0</v>
      </c>
      <c r="P56" s="2" t="s">
        <v>92</v>
      </c>
      <c r="Q56" s="2" t="s">
        <v>667</v>
      </c>
      <c r="R56" s="222"/>
      <c r="S56" s="221">
        <v>0.0</v>
      </c>
      <c r="T56" s="221">
        <v>0.0</v>
      </c>
      <c r="U56" s="2" t="s">
        <v>92</v>
      </c>
      <c r="V56" s="2" t="s">
        <v>667</v>
      </c>
      <c r="W56" s="222"/>
      <c r="X56" s="221">
        <v>0.0</v>
      </c>
      <c r="Y56" s="221">
        <v>0.0</v>
      </c>
      <c r="Z56" s="223">
        <v>0.0</v>
      </c>
      <c r="AA56" s="223">
        <v>0.0</v>
      </c>
      <c r="AB56" s="223">
        <v>0.0</v>
      </c>
      <c r="AC56" s="223">
        <v>0.0</v>
      </c>
      <c r="AD56" s="224">
        <v>0.0</v>
      </c>
      <c r="AE56" s="174">
        <f t="shared" si="1"/>
        <v>0</v>
      </c>
      <c r="AF56" s="225">
        <f t="shared" si="2"/>
        <v>14.5</v>
      </c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16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</sheetData>
  <mergeCells count="7">
    <mergeCell ref="F1:Z1"/>
    <mergeCell ref="I2:J2"/>
    <mergeCell ref="N2:O2"/>
    <mergeCell ref="S2:T2"/>
    <mergeCell ref="X2:Y2"/>
    <mergeCell ref="Z2:AA2"/>
    <mergeCell ref="AB2:AC2"/>
  </mergeCells>
  <dataValidations>
    <dataValidation type="list" allowBlank="1" showErrorMessage="1" sqref="G4:G56 L4:L56 Q4:Q56 V4:V56">
      <formula1>"Online/permission granted,In class,Group Assignment,Absent,Online/Sick,Online/ NO permission ,Public Holiday,In class/Lesson not attended in full,Reported absent"</formula1>
    </dataValidation>
    <dataValidation type="list" allowBlank="1" showErrorMessage="1" sqref="F4:F56 K4:K56 P4:P56 U4:U56">
      <formula1>"Yes,No "</formula1>
    </dataValidation>
    <dataValidation type="list" allowBlank="1" showErrorMessage="1" sqref="AD4:AD56">
      <formula1>"0,1,2,3,4"</formula1>
    </dataValidation>
    <dataValidation type="list" allowBlank="1" showErrorMessage="1" sqref="I4:J56 N4:O56 S4:T56 X4:AC56">
      <formula1>"0,2,1.5,1,0.5"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5.63"/>
    <col customWidth="1" min="2" max="2" width="9.25"/>
    <col customWidth="1" min="3" max="3" width="8.63"/>
    <col customWidth="1" min="5" max="5" width="16.5"/>
    <col customWidth="1" min="7" max="7" width="12.75"/>
    <col customWidth="1" min="8" max="8" width="22.38"/>
    <col customWidth="1" min="13" max="13" width="24.88"/>
    <col customWidth="1" min="18" max="18" width="28.25"/>
    <col customWidth="1" min="23" max="23" width="24.75"/>
  </cols>
  <sheetData>
    <row r="1" ht="21.75" customHeight="1">
      <c r="A1" s="2"/>
      <c r="B1" s="2"/>
      <c r="C1" s="2"/>
      <c r="D1" s="2"/>
      <c r="E1" s="2"/>
      <c r="F1" s="187" t="s">
        <v>640</v>
      </c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188" t="s">
        <v>641</v>
      </c>
      <c r="G2" s="188" t="s">
        <v>736</v>
      </c>
      <c r="H2" s="189"/>
      <c r="I2" s="190" t="s">
        <v>643</v>
      </c>
      <c r="J2" s="191"/>
      <c r="K2" s="192" t="s">
        <v>641</v>
      </c>
      <c r="L2" s="192" t="s">
        <v>737</v>
      </c>
      <c r="M2" s="193"/>
      <c r="N2" s="194" t="s">
        <v>643</v>
      </c>
      <c r="O2" s="191"/>
      <c r="P2" s="195" t="s">
        <v>641</v>
      </c>
      <c r="Q2" s="195" t="s">
        <v>738</v>
      </c>
      <c r="R2" s="196"/>
      <c r="S2" s="197" t="s">
        <v>643</v>
      </c>
      <c r="T2" s="191"/>
      <c r="U2" s="198" t="s">
        <v>641</v>
      </c>
      <c r="V2" s="198" t="s">
        <v>739</v>
      </c>
      <c r="W2" s="199"/>
      <c r="X2" s="200" t="s">
        <v>643</v>
      </c>
      <c r="Y2" s="191"/>
      <c r="Z2" s="201" t="s">
        <v>647</v>
      </c>
      <c r="AA2" s="185"/>
      <c r="AB2" s="201" t="s">
        <v>648</v>
      </c>
      <c r="AC2" s="185"/>
      <c r="AD2" s="31"/>
      <c r="AE2" s="31"/>
      <c r="AF2" s="31"/>
    </row>
    <row r="3">
      <c r="A3" s="202" t="s">
        <v>649</v>
      </c>
      <c r="B3" s="203" t="s">
        <v>650</v>
      </c>
      <c r="C3" s="202" t="s">
        <v>651</v>
      </c>
      <c r="D3" s="202" t="s">
        <v>652</v>
      </c>
      <c r="E3" s="202" t="s">
        <v>7</v>
      </c>
      <c r="F3" s="204" t="s">
        <v>653</v>
      </c>
      <c r="G3" s="205" t="s">
        <v>654</v>
      </c>
      <c r="H3" s="205" t="s">
        <v>655</v>
      </c>
      <c r="I3" s="206" t="s">
        <v>656</v>
      </c>
      <c r="J3" s="206" t="s">
        <v>657</v>
      </c>
      <c r="K3" s="207" t="s">
        <v>658</v>
      </c>
      <c r="L3" s="208" t="s">
        <v>654</v>
      </c>
      <c r="M3" s="208" t="s">
        <v>655</v>
      </c>
      <c r="N3" s="208" t="s">
        <v>656</v>
      </c>
      <c r="O3" s="207" t="s">
        <v>657</v>
      </c>
      <c r="P3" s="209" t="s">
        <v>659</v>
      </c>
      <c r="Q3" s="209" t="s">
        <v>654</v>
      </c>
      <c r="R3" s="210" t="s">
        <v>655</v>
      </c>
      <c r="S3" s="210" t="s">
        <v>656</v>
      </c>
      <c r="T3" s="210" t="s">
        <v>657</v>
      </c>
      <c r="U3" s="211" t="s">
        <v>660</v>
      </c>
      <c r="V3" s="211" t="s">
        <v>654</v>
      </c>
      <c r="W3" s="212" t="s">
        <v>655</v>
      </c>
      <c r="X3" s="211" t="s">
        <v>656</v>
      </c>
      <c r="Y3" s="212" t="s">
        <v>657</v>
      </c>
      <c r="Z3" s="213" t="s">
        <v>661</v>
      </c>
      <c r="AA3" s="213" t="s">
        <v>662</v>
      </c>
      <c r="AB3" s="213" t="s">
        <v>663</v>
      </c>
      <c r="AC3" s="213" t="s">
        <v>662</v>
      </c>
      <c r="AD3" s="214" t="s">
        <v>664</v>
      </c>
      <c r="AE3" s="215" t="s">
        <v>665</v>
      </c>
      <c r="AF3" s="215" t="s">
        <v>666</v>
      </c>
    </row>
    <row r="4">
      <c r="A4" s="216">
        <v>1.0</v>
      </c>
      <c r="B4" s="217" t="s">
        <v>62</v>
      </c>
      <c r="C4" s="28"/>
      <c r="D4" s="17" t="s">
        <v>20</v>
      </c>
      <c r="E4" s="17" t="s">
        <v>37</v>
      </c>
      <c r="F4" s="218" t="s">
        <v>92</v>
      </c>
      <c r="G4" s="219" t="s">
        <v>667</v>
      </c>
      <c r="H4" s="222"/>
      <c r="I4" s="221">
        <v>0.0</v>
      </c>
      <c r="J4" s="221">
        <v>0.0</v>
      </c>
      <c r="K4" s="218" t="s">
        <v>92</v>
      </c>
      <c r="L4" s="219" t="s">
        <v>667</v>
      </c>
      <c r="M4" s="222"/>
      <c r="N4" s="221">
        <v>0.0</v>
      </c>
      <c r="O4" s="221">
        <v>0.0</v>
      </c>
      <c r="P4" s="218" t="s">
        <v>92</v>
      </c>
      <c r="Q4" s="219" t="s">
        <v>667</v>
      </c>
      <c r="R4" s="222"/>
      <c r="S4" s="221">
        <v>0.0</v>
      </c>
      <c r="T4" s="221">
        <v>0.0</v>
      </c>
      <c r="U4" s="218" t="s">
        <v>92</v>
      </c>
      <c r="V4" s="219" t="s">
        <v>667</v>
      </c>
      <c r="W4" s="222"/>
      <c r="X4" s="221">
        <v>0.0</v>
      </c>
      <c r="Y4" s="221">
        <v>0.0</v>
      </c>
      <c r="Z4" s="223">
        <v>0.0</v>
      </c>
      <c r="AA4" s="223">
        <v>0.0</v>
      </c>
      <c r="AB4" s="223">
        <v>0.0</v>
      </c>
      <c r="AC4" s="223">
        <v>0.0</v>
      </c>
      <c r="AD4" s="224">
        <v>0.0</v>
      </c>
      <c r="AE4" s="174">
        <f t="shared" ref="AE4:AE56" si="1">I4+J4+N4+O4+S4+T4+X4+Y4+Z4+AA4+AB4+AC4</f>
        <v>0</v>
      </c>
      <c r="AF4" s="225">
        <f t="shared" ref="AF4:AF56" si="2">14.5-AE4</f>
        <v>14.5</v>
      </c>
    </row>
    <row r="5">
      <c r="A5" s="39">
        <v>2.0</v>
      </c>
      <c r="B5" s="41" t="s">
        <v>90</v>
      </c>
      <c r="C5" s="226"/>
      <c r="D5" s="29" t="s">
        <v>29</v>
      </c>
      <c r="E5" s="29" t="s">
        <v>68</v>
      </c>
      <c r="F5" s="218" t="s">
        <v>92</v>
      </c>
      <c r="G5" s="219" t="s">
        <v>667</v>
      </c>
      <c r="H5" s="222"/>
      <c r="I5" s="221">
        <v>0.0</v>
      </c>
      <c r="J5" s="221">
        <v>0.0</v>
      </c>
      <c r="K5" s="51" t="s">
        <v>92</v>
      </c>
      <c r="L5" s="51" t="s">
        <v>667</v>
      </c>
      <c r="M5" s="222"/>
      <c r="N5" s="221">
        <v>0.0</v>
      </c>
      <c r="O5" s="221">
        <v>0.0</v>
      </c>
      <c r="P5" s="51" t="s">
        <v>92</v>
      </c>
      <c r="Q5" s="51" t="s">
        <v>667</v>
      </c>
      <c r="R5" s="222"/>
      <c r="S5" s="221">
        <v>0.0</v>
      </c>
      <c r="T5" s="221">
        <v>0.0</v>
      </c>
      <c r="U5" s="51" t="s">
        <v>92</v>
      </c>
      <c r="V5" s="51" t="s">
        <v>667</v>
      </c>
      <c r="W5" s="222"/>
      <c r="X5" s="221">
        <v>0.0</v>
      </c>
      <c r="Y5" s="221">
        <v>0.0</v>
      </c>
      <c r="Z5" s="223">
        <v>0.0</v>
      </c>
      <c r="AA5" s="223">
        <v>0.0</v>
      </c>
      <c r="AB5" s="223">
        <v>0.0</v>
      </c>
      <c r="AC5" s="223">
        <v>0.0</v>
      </c>
      <c r="AD5" s="224">
        <v>0.0</v>
      </c>
      <c r="AE5" s="174">
        <f t="shared" si="1"/>
        <v>0</v>
      </c>
      <c r="AF5" s="225">
        <f t="shared" si="2"/>
        <v>14.5</v>
      </c>
    </row>
    <row r="6">
      <c r="A6" s="216">
        <v>3.0</v>
      </c>
      <c r="B6" s="41" t="s">
        <v>90</v>
      </c>
      <c r="C6" s="55" t="s">
        <v>99</v>
      </c>
      <c r="D6" s="43" t="s">
        <v>95</v>
      </c>
      <c r="E6" s="43" t="s">
        <v>35</v>
      </c>
      <c r="F6" s="2" t="s">
        <v>92</v>
      </c>
      <c r="G6" s="2" t="s">
        <v>667</v>
      </c>
      <c r="H6" s="222"/>
      <c r="I6" s="221">
        <v>0.0</v>
      </c>
      <c r="J6" s="221">
        <v>0.0</v>
      </c>
      <c r="K6" s="2" t="s">
        <v>92</v>
      </c>
      <c r="L6" s="2" t="s">
        <v>667</v>
      </c>
      <c r="M6" s="222"/>
      <c r="N6" s="221">
        <v>0.0</v>
      </c>
      <c r="O6" s="221">
        <v>0.0</v>
      </c>
      <c r="P6" s="2" t="s">
        <v>92</v>
      </c>
      <c r="Q6" s="2" t="s">
        <v>667</v>
      </c>
      <c r="R6" s="222"/>
      <c r="S6" s="221">
        <v>0.0</v>
      </c>
      <c r="T6" s="221">
        <v>0.0</v>
      </c>
      <c r="U6" s="2" t="s">
        <v>92</v>
      </c>
      <c r="V6" s="2" t="s">
        <v>667</v>
      </c>
      <c r="W6" s="222"/>
      <c r="X6" s="221">
        <v>0.0</v>
      </c>
      <c r="Y6" s="221">
        <v>0.0</v>
      </c>
      <c r="Z6" s="223">
        <v>0.0</v>
      </c>
      <c r="AA6" s="223">
        <v>0.0</v>
      </c>
      <c r="AB6" s="223">
        <v>0.0</v>
      </c>
      <c r="AC6" s="223">
        <v>0.0</v>
      </c>
      <c r="AD6" s="224">
        <v>0.0</v>
      </c>
      <c r="AE6" s="174">
        <f t="shared" si="1"/>
        <v>0</v>
      </c>
      <c r="AF6" s="225">
        <f t="shared" si="2"/>
        <v>14.5</v>
      </c>
    </row>
    <row r="7">
      <c r="A7" s="39">
        <v>4.0</v>
      </c>
      <c r="B7" s="62" t="s">
        <v>90</v>
      </c>
      <c r="C7" s="59"/>
      <c r="D7" s="54" t="s">
        <v>41</v>
      </c>
      <c r="E7" s="54" t="s">
        <v>42</v>
      </c>
      <c r="F7" s="2" t="s">
        <v>92</v>
      </c>
      <c r="G7" s="2" t="s">
        <v>667</v>
      </c>
      <c r="H7" s="222"/>
      <c r="I7" s="221">
        <v>0.0</v>
      </c>
      <c r="J7" s="221">
        <v>0.0</v>
      </c>
      <c r="K7" s="2" t="s">
        <v>92</v>
      </c>
      <c r="L7" s="2" t="s">
        <v>667</v>
      </c>
      <c r="M7" s="222"/>
      <c r="N7" s="221">
        <v>0.0</v>
      </c>
      <c r="O7" s="221">
        <v>0.0</v>
      </c>
      <c r="P7" s="2" t="s">
        <v>92</v>
      </c>
      <c r="Q7" s="2" t="s">
        <v>667</v>
      </c>
      <c r="R7" s="222"/>
      <c r="S7" s="221">
        <v>0.0</v>
      </c>
      <c r="T7" s="221">
        <v>0.0</v>
      </c>
      <c r="U7" s="2" t="s">
        <v>92</v>
      </c>
      <c r="V7" s="2" t="s">
        <v>667</v>
      </c>
      <c r="W7" s="222"/>
      <c r="X7" s="221">
        <v>0.0</v>
      </c>
      <c r="Y7" s="221">
        <v>0.0</v>
      </c>
      <c r="Z7" s="223">
        <v>0.0</v>
      </c>
      <c r="AA7" s="223">
        <v>0.0</v>
      </c>
      <c r="AB7" s="223">
        <v>0.0</v>
      </c>
      <c r="AC7" s="223">
        <v>0.0</v>
      </c>
      <c r="AD7" s="224">
        <v>0.0</v>
      </c>
      <c r="AE7" s="174">
        <f t="shared" si="1"/>
        <v>0</v>
      </c>
      <c r="AF7" s="225">
        <f t="shared" si="2"/>
        <v>14.5</v>
      </c>
    </row>
    <row r="8">
      <c r="A8" s="216">
        <v>5.0</v>
      </c>
      <c r="B8" s="62" t="s">
        <v>90</v>
      </c>
      <c r="C8" s="59"/>
      <c r="D8" s="54" t="s">
        <v>48</v>
      </c>
      <c r="E8" s="54" t="s">
        <v>51</v>
      </c>
      <c r="F8" s="2" t="s">
        <v>92</v>
      </c>
      <c r="G8" s="2" t="s">
        <v>667</v>
      </c>
      <c r="H8" s="222"/>
      <c r="I8" s="221">
        <v>0.0</v>
      </c>
      <c r="J8" s="221">
        <v>0.0</v>
      </c>
      <c r="K8" s="2" t="s">
        <v>92</v>
      </c>
      <c r="L8" s="2" t="s">
        <v>667</v>
      </c>
      <c r="M8" s="222"/>
      <c r="N8" s="221">
        <v>0.0</v>
      </c>
      <c r="O8" s="221">
        <v>0.0</v>
      </c>
      <c r="P8" s="2" t="s">
        <v>92</v>
      </c>
      <c r="Q8" s="2" t="s">
        <v>667</v>
      </c>
      <c r="R8" s="222"/>
      <c r="S8" s="221">
        <v>0.0</v>
      </c>
      <c r="T8" s="221">
        <v>0.0</v>
      </c>
      <c r="U8" s="2" t="s">
        <v>92</v>
      </c>
      <c r="V8" s="2" t="s">
        <v>667</v>
      </c>
      <c r="W8" s="222"/>
      <c r="X8" s="221">
        <v>0.0</v>
      </c>
      <c r="Y8" s="221">
        <v>0.0</v>
      </c>
      <c r="Z8" s="223">
        <v>0.0</v>
      </c>
      <c r="AA8" s="223">
        <v>0.0</v>
      </c>
      <c r="AB8" s="223">
        <v>0.0</v>
      </c>
      <c r="AC8" s="223">
        <v>0.0</v>
      </c>
      <c r="AD8" s="224">
        <v>0.0</v>
      </c>
      <c r="AE8" s="174">
        <f t="shared" si="1"/>
        <v>0</v>
      </c>
      <c r="AF8" s="225">
        <f t="shared" si="2"/>
        <v>14.5</v>
      </c>
    </row>
    <row r="9">
      <c r="A9" s="39">
        <v>6.0</v>
      </c>
      <c r="B9" s="62" t="s">
        <v>90</v>
      </c>
      <c r="C9" s="59"/>
      <c r="D9" s="43" t="s">
        <v>58</v>
      </c>
      <c r="E9" s="43" t="s">
        <v>148</v>
      </c>
      <c r="F9" s="2" t="s">
        <v>92</v>
      </c>
      <c r="G9" s="2" t="s">
        <v>667</v>
      </c>
      <c r="H9" s="222"/>
      <c r="I9" s="221">
        <v>0.0</v>
      </c>
      <c r="J9" s="221">
        <v>0.0</v>
      </c>
      <c r="K9" s="2" t="s">
        <v>92</v>
      </c>
      <c r="L9" s="2" t="s">
        <v>667</v>
      </c>
      <c r="M9" s="222"/>
      <c r="N9" s="221">
        <v>0.0</v>
      </c>
      <c r="O9" s="221">
        <v>0.0</v>
      </c>
      <c r="P9" s="2" t="s">
        <v>92</v>
      </c>
      <c r="Q9" s="2" t="s">
        <v>667</v>
      </c>
      <c r="R9" s="222"/>
      <c r="S9" s="221">
        <v>0.0</v>
      </c>
      <c r="T9" s="221">
        <v>0.0</v>
      </c>
      <c r="U9" s="2" t="s">
        <v>92</v>
      </c>
      <c r="V9" s="2" t="s">
        <v>667</v>
      </c>
      <c r="W9" s="222"/>
      <c r="X9" s="221">
        <v>0.0</v>
      </c>
      <c r="Y9" s="221">
        <v>0.0</v>
      </c>
      <c r="Z9" s="223">
        <v>0.0</v>
      </c>
      <c r="AA9" s="223">
        <v>0.0</v>
      </c>
      <c r="AB9" s="223">
        <v>0.0</v>
      </c>
      <c r="AC9" s="223">
        <v>0.0</v>
      </c>
      <c r="AD9" s="224">
        <v>0.0</v>
      </c>
      <c r="AE9" s="174">
        <f t="shared" si="1"/>
        <v>0</v>
      </c>
      <c r="AF9" s="225">
        <f t="shared" si="2"/>
        <v>14.5</v>
      </c>
    </row>
    <row r="10">
      <c r="A10" s="216">
        <v>7.0</v>
      </c>
      <c r="B10" s="105" t="s">
        <v>90</v>
      </c>
      <c r="C10" s="68"/>
      <c r="D10" s="70" t="s">
        <v>63</v>
      </c>
      <c r="E10" s="74" t="s">
        <v>64</v>
      </c>
      <c r="F10" s="84" t="s">
        <v>92</v>
      </c>
      <c r="G10" s="2" t="s">
        <v>667</v>
      </c>
      <c r="H10" s="222"/>
      <c r="I10" s="221">
        <v>0.0</v>
      </c>
      <c r="J10" s="221">
        <v>0.0</v>
      </c>
      <c r="K10" s="2" t="s">
        <v>92</v>
      </c>
      <c r="L10" s="2" t="s">
        <v>667</v>
      </c>
      <c r="M10" s="222"/>
      <c r="N10" s="221">
        <v>0.0</v>
      </c>
      <c r="O10" s="221">
        <v>0.0</v>
      </c>
      <c r="P10" s="2" t="s">
        <v>92</v>
      </c>
      <c r="Q10" s="2" t="s">
        <v>667</v>
      </c>
      <c r="R10" s="222"/>
      <c r="S10" s="221">
        <v>0.0</v>
      </c>
      <c r="T10" s="221">
        <v>0.0</v>
      </c>
      <c r="U10" s="2" t="s">
        <v>92</v>
      </c>
      <c r="V10" s="2" t="s">
        <v>667</v>
      </c>
      <c r="W10" s="222"/>
      <c r="X10" s="221">
        <v>0.0</v>
      </c>
      <c r="Y10" s="221">
        <v>0.0</v>
      </c>
      <c r="Z10" s="223">
        <v>0.0</v>
      </c>
      <c r="AA10" s="223">
        <v>0.0</v>
      </c>
      <c r="AB10" s="223">
        <v>0.0</v>
      </c>
      <c r="AC10" s="223">
        <v>0.0</v>
      </c>
      <c r="AD10" s="224">
        <v>0.0</v>
      </c>
      <c r="AE10" s="174">
        <f t="shared" si="1"/>
        <v>0</v>
      </c>
      <c r="AF10" s="225">
        <f t="shared" si="2"/>
        <v>14.5</v>
      </c>
    </row>
    <row r="11">
      <c r="A11" s="39">
        <v>8.0</v>
      </c>
      <c r="B11" s="62" t="s">
        <v>90</v>
      </c>
      <c r="C11" s="59"/>
      <c r="D11" s="54" t="s">
        <v>66</v>
      </c>
      <c r="E11" s="54" t="s">
        <v>187</v>
      </c>
      <c r="F11" s="2" t="s">
        <v>92</v>
      </c>
      <c r="G11" s="2" t="s">
        <v>667</v>
      </c>
      <c r="H11" s="222"/>
      <c r="I11" s="221">
        <v>0.0</v>
      </c>
      <c r="J11" s="221">
        <v>0.0</v>
      </c>
      <c r="K11" s="2" t="s">
        <v>92</v>
      </c>
      <c r="L11" s="2" t="s">
        <v>667</v>
      </c>
      <c r="M11" s="222"/>
      <c r="N11" s="221">
        <v>0.0</v>
      </c>
      <c r="O11" s="221">
        <v>0.0</v>
      </c>
      <c r="P11" s="2" t="s">
        <v>92</v>
      </c>
      <c r="Q11" s="2" t="s">
        <v>667</v>
      </c>
      <c r="R11" s="222"/>
      <c r="S11" s="221">
        <v>0.0</v>
      </c>
      <c r="T11" s="221">
        <v>0.0</v>
      </c>
      <c r="U11" s="2" t="s">
        <v>92</v>
      </c>
      <c r="V11" s="2" t="s">
        <v>667</v>
      </c>
      <c r="W11" s="222"/>
      <c r="X11" s="221">
        <v>0.0</v>
      </c>
      <c r="Y11" s="221">
        <v>0.0</v>
      </c>
      <c r="Z11" s="223">
        <v>0.0</v>
      </c>
      <c r="AA11" s="223">
        <v>0.0</v>
      </c>
      <c r="AB11" s="223">
        <v>0.0</v>
      </c>
      <c r="AC11" s="223">
        <v>0.0</v>
      </c>
      <c r="AD11" s="224">
        <v>0.0</v>
      </c>
      <c r="AE11" s="174">
        <f t="shared" si="1"/>
        <v>0</v>
      </c>
      <c r="AF11" s="225">
        <f t="shared" si="2"/>
        <v>14.5</v>
      </c>
    </row>
    <row r="12">
      <c r="A12" s="216">
        <v>9.0</v>
      </c>
      <c r="B12" s="62" t="s">
        <v>90</v>
      </c>
      <c r="C12" s="59"/>
      <c r="D12" s="46" t="s">
        <v>71</v>
      </c>
      <c r="E12" s="46" t="s">
        <v>195</v>
      </c>
      <c r="F12" s="2" t="s">
        <v>92</v>
      </c>
      <c r="G12" s="2" t="s">
        <v>667</v>
      </c>
      <c r="H12" s="222"/>
      <c r="I12" s="221">
        <v>0.0</v>
      </c>
      <c r="J12" s="221">
        <v>0.0</v>
      </c>
      <c r="K12" s="2" t="s">
        <v>92</v>
      </c>
      <c r="L12" s="2" t="s">
        <v>667</v>
      </c>
      <c r="M12" s="222"/>
      <c r="N12" s="221">
        <v>0.0</v>
      </c>
      <c r="O12" s="221">
        <v>0.0</v>
      </c>
      <c r="P12" s="2" t="s">
        <v>92</v>
      </c>
      <c r="Q12" s="2" t="s">
        <v>667</v>
      </c>
      <c r="R12" s="222"/>
      <c r="S12" s="221">
        <v>0.0</v>
      </c>
      <c r="T12" s="221">
        <v>0.0</v>
      </c>
      <c r="U12" s="2" t="s">
        <v>92</v>
      </c>
      <c r="V12" s="2" t="s">
        <v>667</v>
      </c>
      <c r="W12" s="222"/>
      <c r="X12" s="221">
        <v>0.0</v>
      </c>
      <c r="Y12" s="221">
        <v>0.0</v>
      </c>
      <c r="Z12" s="223">
        <v>0.0</v>
      </c>
      <c r="AA12" s="223">
        <v>0.0</v>
      </c>
      <c r="AB12" s="223">
        <v>0.0</v>
      </c>
      <c r="AC12" s="223">
        <v>0.0</v>
      </c>
      <c r="AD12" s="224">
        <v>0.0</v>
      </c>
      <c r="AE12" s="174">
        <f t="shared" si="1"/>
        <v>0</v>
      </c>
      <c r="AF12" s="225">
        <f t="shared" si="2"/>
        <v>14.5</v>
      </c>
    </row>
    <row r="13">
      <c r="A13" s="39">
        <v>10.0</v>
      </c>
      <c r="B13" s="62" t="s">
        <v>90</v>
      </c>
      <c r="C13" s="59"/>
      <c r="D13" s="54" t="s">
        <v>85</v>
      </c>
      <c r="E13" s="54" t="s">
        <v>86</v>
      </c>
      <c r="F13" s="2" t="s">
        <v>92</v>
      </c>
      <c r="G13" s="2" t="s">
        <v>667</v>
      </c>
      <c r="H13" s="222"/>
      <c r="I13" s="221">
        <v>0.0</v>
      </c>
      <c r="J13" s="221">
        <v>0.0</v>
      </c>
      <c r="K13" s="2" t="s">
        <v>92</v>
      </c>
      <c r="L13" s="2" t="s">
        <v>667</v>
      </c>
      <c r="M13" s="222"/>
      <c r="N13" s="221">
        <v>0.0</v>
      </c>
      <c r="O13" s="221">
        <v>0.0</v>
      </c>
      <c r="P13" s="2" t="s">
        <v>92</v>
      </c>
      <c r="Q13" s="2" t="s">
        <v>667</v>
      </c>
      <c r="R13" s="222"/>
      <c r="S13" s="221">
        <v>0.0</v>
      </c>
      <c r="T13" s="221">
        <v>0.0</v>
      </c>
      <c r="U13" s="2" t="s">
        <v>92</v>
      </c>
      <c r="V13" s="2" t="s">
        <v>667</v>
      </c>
      <c r="W13" s="222"/>
      <c r="X13" s="221">
        <v>0.0</v>
      </c>
      <c r="Y13" s="221">
        <v>0.0</v>
      </c>
      <c r="Z13" s="223">
        <v>0.0</v>
      </c>
      <c r="AA13" s="223">
        <v>0.0</v>
      </c>
      <c r="AB13" s="223">
        <v>0.0</v>
      </c>
      <c r="AC13" s="223">
        <v>0.0</v>
      </c>
      <c r="AD13" s="224">
        <v>0.0</v>
      </c>
      <c r="AE13" s="174">
        <f t="shared" si="1"/>
        <v>0</v>
      </c>
      <c r="AF13" s="225">
        <f t="shared" si="2"/>
        <v>14.5</v>
      </c>
    </row>
    <row r="14">
      <c r="A14" s="216">
        <v>11.0</v>
      </c>
      <c r="B14" s="62" t="s">
        <v>90</v>
      </c>
      <c r="C14" s="59"/>
      <c r="D14" s="54" t="s">
        <v>88</v>
      </c>
      <c r="E14" s="54" t="s">
        <v>246</v>
      </c>
      <c r="F14" s="2" t="s">
        <v>92</v>
      </c>
      <c r="G14" s="2" t="s">
        <v>667</v>
      </c>
      <c r="H14" s="222"/>
      <c r="I14" s="221">
        <v>0.0</v>
      </c>
      <c r="J14" s="221">
        <v>0.0</v>
      </c>
      <c r="K14" s="2" t="s">
        <v>92</v>
      </c>
      <c r="L14" s="2" t="s">
        <v>667</v>
      </c>
      <c r="M14" s="222"/>
      <c r="N14" s="221">
        <v>0.0</v>
      </c>
      <c r="O14" s="221">
        <v>0.0</v>
      </c>
      <c r="P14" s="2" t="s">
        <v>92</v>
      </c>
      <c r="Q14" s="2" t="s">
        <v>667</v>
      </c>
      <c r="R14" s="222"/>
      <c r="S14" s="221">
        <v>0.0</v>
      </c>
      <c r="T14" s="221">
        <v>0.0</v>
      </c>
      <c r="U14" s="2" t="s">
        <v>92</v>
      </c>
      <c r="V14" s="2" t="s">
        <v>667</v>
      </c>
      <c r="W14" s="222"/>
      <c r="X14" s="221">
        <v>0.0</v>
      </c>
      <c r="Y14" s="221">
        <v>0.0</v>
      </c>
      <c r="Z14" s="223">
        <v>0.0</v>
      </c>
      <c r="AA14" s="223">
        <v>0.0</v>
      </c>
      <c r="AB14" s="223">
        <v>0.0</v>
      </c>
      <c r="AC14" s="223">
        <v>0.0</v>
      </c>
      <c r="AD14" s="224">
        <v>0.0</v>
      </c>
      <c r="AE14" s="174">
        <f t="shared" si="1"/>
        <v>0</v>
      </c>
      <c r="AF14" s="225">
        <f t="shared" si="2"/>
        <v>14.5</v>
      </c>
    </row>
    <row r="15">
      <c r="A15" s="39">
        <v>12.0</v>
      </c>
      <c r="B15" s="62" t="s">
        <v>90</v>
      </c>
      <c r="C15" s="59"/>
      <c r="D15" s="43" t="s">
        <v>94</v>
      </c>
      <c r="E15" s="43" t="s">
        <v>258</v>
      </c>
      <c r="F15" s="2" t="s">
        <v>92</v>
      </c>
      <c r="G15" s="2" t="s">
        <v>667</v>
      </c>
      <c r="H15" s="222"/>
      <c r="I15" s="221">
        <v>0.0</v>
      </c>
      <c r="J15" s="221">
        <v>0.0</v>
      </c>
      <c r="K15" s="2" t="s">
        <v>92</v>
      </c>
      <c r="L15" s="2" t="s">
        <v>667</v>
      </c>
      <c r="M15" s="222"/>
      <c r="N15" s="221">
        <v>0.0</v>
      </c>
      <c r="O15" s="221">
        <v>0.0</v>
      </c>
      <c r="P15" s="2" t="s">
        <v>92</v>
      </c>
      <c r="Q15" s="2" t="s">
        <v>667</v>
      </c>
      <c r="R15" s="222"/>
      <c r="S15" s="221">
        <v>0.0</v>
      </c>
      <c r="T15" s="221">
        <v>0.0</v>
      </c>
      <c r="U15" s="2" t="s">
        <v>92</v>
      </c>
      <c r="V15" s="2" t="s">
        <v>667</v>
      </c>
      <c r="W15" s="222"/>
      <c r="X15" s="221">
        <v>0.0</v>
      </c>
      <c r="Y15" s="221">
        <v>0.0</v>
      </c>
      <c r="Z15" s="223">
        <v>0.0</v>
      </c>
      <c r="AA15" s="223">
        <v>0.0</v>
      </c>
      <c r="AB15" s="223">
        <v>0.0</v>
      </c>
      <c r="AC15" s="223">
        <v>0.0</v>
      </c>
      <c r="AD15" s="224">
        <v>0.0</v>
      </c>
      <c r="AE15" s="174">
        <f t="shared" si="1"/>
        <v>0</v>
      </c>
      <c r="AF15" s="225">
        <f t="shared" si="2"/>
        <v>14.5</v>
      </c>
    </row>
    <row r="16">
      <c r="A16" s="216">
        <v>13.0</v>
      </c>
      <c r="B16" s="121" t="s">
        <v>90</v>
      </c>
      <c r="C16" s="87"/>
      <c r="D16" s="43" t="s">
        <v>107</v>
      </c>
      <c r="E16" s="46" t="s">
        <v>276</v>
      </c>
      <c r="F16" s="2" t="s">
        <v>92</v>
      </c>
      <c r="G16" s="2" t="s">
        <v>667</v>
      </c>
      <c r="H16" s="222"/>
      <c r="I16" s="221">
        <v>0.0</v>
      </c>
      <c r="J16" s="221">
        <v>0.0</v>
      </c>
      <c r="K16" s="2" t="s">
        <v>92</v>
      </c>
      <c r="L16" s="2" t="s">
        <v>667</v>
      </c>
      <c r="M16" s="222"/>
      <c r="N16" s="221">
        <v>0.0</v>
      </c>
      <c r="O16" s="221">
        <v>0.0</v>
      </c>
      <c r="P16" s="2" t="s">
        <v>92</v>
      </c>
      <c r="Q16" s="2" t="s">
        <v>667</v>
      </c>
      <c r="R16" s="222"/>
      <c r="S16" s="221">
        <v>0.0</v>
      </c>
      <c r="T16" s="221">
        <v>0.0</v>
      </c>
      <c r="U16" s="2" t="s">
        <v>92</v>
      </c>
      <c r="V16" s="2" t="s">
        <v>667</v>
      </c>
      <c r="W16" s="222"/>
      <c r="X16" s="221">
        <v>0.0</v>
      </c>
      <c r="Y16" s="221">
        <v>0.0</v>
      </c>
      <c r="Z16" s="223">
        <v>0.0</v>
      </c>
      <c r="AA16" s="223">
        <v>0.0</v>
      </c>
      <c r="AB16" s="223">
        <v>0.0</v>
      </c>
      <c r="AC16" s="223">
        <v>0.0</v>
      </c>
      <c r="AD16" s="224">
        <v>0.0</v>
      </c>
      <c r="AE16" s="174">
        <f t="shared" si="1"/>
        <v>0</v>
      </c>
      <c r="AF16" s="225">
        <f t="shared" si="2"/>
        <v>14.5</v>
      </c>
    </row>
    <row r="17">
      <c r="A17" s="39">
        <v>14.0</v>
      </c>
      <c r="B17" s="62" t="s">
        <v>90</v>
      </c>
      <c r="C17" s="59"/>
      <c r="D17" s="43" t="s">
        <v>112</v>
      </c>
      <c r="E17" s="43" t="s">
        <v>292</v>
      </c>
      <c r="F17" s="2" t="s">
        <v>92</v>
      </c>
      <c r="G17" s="2" t="s">
        <v>667</v>
      </c>
      <c r="H17" s="222"/>
      <c r="I17" s="221">
        <v>0.0</v>
      </c>
      <c r="J17" s="221">
        <v>0.0</v>
      </c>
      <c r="K17" s="2" t="s">
        <v>92</v>
      </c>
      <c r="L17" s="2" t="s">
        <v>667</v>
      </c>
      <c r="M17" s="222"/>
      <c r="N17" s="221">
        <v>0.0</v>
      </c>
      <c r="O17" s="221">
        <v>0.0</v>
      </c>
      <c r="P17" s="2" t="s">
        <v>92</v>
      </c>
      <c r="Q17" s="2" t="s">
        <v>667</v>
      </c>
      <c r="R17" s="222"/>
      <c r="S17" s="221">
        <v>0.0</v>
      </c>
      <c r="T17" s="221">
        <v>0.0</v>
      </c>
      <c r="U17" s="2" t="s">
        <v>92</v>
      </c>
      <c r="V17" s="2" t="s">
        <v>667</v>
      </c>
      <c r="W17" s="222"/>
      <c r="X17" s="221">
        <v>0.0</v>
      </c>
      <c r="Y17" s="221">
        <v>0.0</v>
      </c>
      <c r="Z17" s="223">
        <v>0.0</v>
      </c>
      <c r="AA17" s="223">
        <v>0.0</v>
      </c>
      <c r="AB17" s="223">
        <v>0.0</v>
      </c>
      <c r="AC17" s="223">
        <v>0.0</v>
      </c>
      <c r="AD17" s="224">
        <v>0.0</v>
      </c>
      <c r="AE17" s="174">
        <f t="shared" si="1"/>
        <v>0</v>
      </c>
      <c r="AF17" s="225">
        <f t="shared" si="2"/>
        <v>14.5</v>
      </c>
    </row>
    <row r="18">
      <c r="A18" s="216">
        <v>15.0</v>
      </c>
      <c r="B18" s="62" t="s">
        <v>90</v>
      </c>
      <c r="C18" s="59"/>
      <c r="D18" s="43" t="s">
        <v>119</v>
      </c>
      <c r="E18" s="43" t="s">
        <v>121</v>
      </c>
      <c r="F18" s="2" t="s">
        <v>92</v>
      </c>
      <c r="G18" s="2" t="s">
        <v>667</v>
      </c>
      <c r="H18" s="222"/>
      <c r="I18" s="228">
        <v>0.0</v>
      </c>
      <c r="J18" s="228">
        <v>0.0</v>
      </c>
      <c r="K18" s="2" t="s">
        <v>92</v>
      </c>
      <c r="L18" s="2" t="s">
        <v>667</v>
      </c>
      <c r="M18" s="222"/>
      <c r="N18" s="228">
        <v>0.0</v>
      </c>
      <c r="O18" s="228">
        <v>0.0</v>
      </c>
      <c r="P18" s="2" t="s">
        <v>92</v>
      </c>
      <c r="Q18" s="2" t="s">
        <v>667</v>
      </c>
      <c r="R18" s="222"/>
      <c r="S18" s="228">
        <v>0.0</v>
      </c>
      <c r="T18" s="228">
        <v>0.0</v>
      </c>
      <c r="U18" s="2" t="s">
        <v>92</v>
      </c>
      <c r="V18" s="2" t="s">
        <v>667</v>
      </c>
      <c r="W18" s="222"/>
      <c r="X18" s="228">
        <v>0.0</v>
      </c>
      <c r="Y18" s="228">
        <v>0.0</v>
      </c>
      <c r="Z18" s="231">
        <v>0.0</v>
      </c>
      <c r="AA18" s="231">
        <v>0.0</v>
      </c>
      <c r="AB18" s="231">
        <v>0.0</v>
      </c>
      <c r="AC18" s="231">
        <v>0.0</v>
      </c>
      <c r="AD18" s="224">
        <v>0.0</v>
      </c>
      <c r="AE18" s="174">
        <f t="shared" si="1"/>
        <v>0</v>
      </c>
      <c r="AF18" s="225">
        <f t="shared" si="2"/>
        <v>14.5</v>
      </c>
    </row>
    <row r="19">
      <c r="A19" s="39">
        <v>16.0</v>
      </c>
      <c r="B19" s="62" t="s">
        <v>90</v>
      </c>
      <c r="C19" s="59"/>
      <c r="D19" s="43" t="s">
        <v>112</v>
      </c>
      <c r="E19" s="43" t="s">
        <v>117</v>
      </c>
      <c r="F19" s="2" t="s">
        <v>92</v>
      </c>
      <c r="G19" s="2" t="s">
        <v>667</v>
      </c>
      <c r="H19" s="222"/>
      <c r="I19" s="221">
        <v>0.0</v>
      </c>
      <c r="J19" s="221">
        <v>0.0</v>
      </c>
      <c r="K19" s="2" t="s">
        <v>92</v>
      </c>
      <c r="L19" s="2" t="s">
        <v>667</v>
      </c>
      <c r="M19" s="222"/>
      <c r="N19" s="221">
        <v>0.0</v>
      </c>
      <c r="O19" s="221">
        <v>0.0</v>
      </c>
      <c r="P19" s="2" t="s">
        <v>92</v>
      </c>
      <c r="Q19" s="2" t="s">
        <v>667</v>
      </c>
      <c r="R19" s="222"/>
      <c r="S19" s="221">
        <v>0.0</v>
      </c>
      <c r="T19" s="221">
        <v>0.0</v>
      </c>
      <c r="U19" s="2" t="s">
        <v>92</v>
      </c>
      <c r="V19" s="2" t="s">
        <v>667</v>
      </c>
      <c r="W19" s="222"/>
      <c r="X19" s="221">
        <v>0.0</v>
      </c>
      <c r="Y19" s="221">
        <v>0.0</v>
      </c>
      <c r="Z19" s="223">
        <v>0.0</v>
      </c>
      <c r="AA19" s="223">
        <v>0.0</v>
      </c>
      <c r="AB19" s="223">
        <v>0.0</v>
      </c>
      <c r="AC19" s="223">
        <v>0.0</v>
      </c>
      <c r="AD19" s="224">
        <v>0.0</v>
      </c>
      <c r="AE19" s="174">
        <f t="shared" si="1"/>
        <v>0</v>
      </c>
      <c r="AF19" s="225">
        <f t="shared" si="2"/>
        <v>14.5</v>
      </c>
    </row>
    <row r="20">
      <c r="A20" s="216">
        <v>17.0</v>
      </c>
      <c r="B20" s="62" t="s">
        <v>90</v>
      </c>
      <c r="C20" s="59"/>
      <c r="D20" s="43" t="s">
        <v>126</v>
      </c>
      <c r="E20" s="43" t="s">
        <v>127</v>
      </c>
      <c r="F20" s="2" t="s">
        <v>92</v>
      </c>
      <c r="G20" s="2" t="s">
        <v>667</v>
      </c>
      <c r="H20" s="222"/>
      <c r="I20" s="221">
        <v>0.0</v>
      </c>
      <c r="J20" s="221">
        <v>0.0</v>
      </c>
      <c r="K20" s="2" t="s">
        <v>92</v>
      </c>
      <c r="L20" s="2" t="s">
        <v>667</v>
      </c>
      <c r="M20" s="222"/>
      <c r="N20" s="221">
        <v>0.0</v>
      </c>
      <c r="O20" s="221">
        <v>0.0</v>
      </c>
      <c r="P20" s="2" t="s">
        <v>92</v>
      </c>
      <c r="Q20" s="2" t="s">
        <v>667</v>
      </c>
      <c r="R20" s="222"/>
      <c r="S20" s="221">
        <v>0.0</v>
      </c>
      <c r="T20" s="221">
        <v>0.0</v>
      </c>
      <c r="U20" s="2" t="s">
        <v>92</v>
      </c>
      <c r="V20" s="2" t="s">
        <v>667</v>
      </c>
      <c r="W20" s="222"/>
      <c r="X20" s="221">
        <v>0.0</v>
      </c>
      <c r="Y20" s="221">
        <v>0.0</v>
      </c>
      <c r="Z20" s="223">
        <v>0.0</v>
      </c>
      <c r="AA20" s="223">
        <v>0.0</v>
      </c>
      <c r="AB20" s="223">
        <v>0.0</v>
      </c>
      <c r="AC20" s="223">
        <v>0.0</v>
      </c>
      <c r="AD20" s="224">
        <v>0.0</v>
      </c>
      <c r="AE20" s="174">
        <f t="shared" si="1"/>
        <v>0</v>
      </c>
      <c r="AF20" s="225">
        <f t="shared" si="2"/>
        <v>14.5</v>
      </c>
    </row>
    <row r="21">
      <c r="A21" s="39">
        <v>18.0</v>
      </c>
      <c r="B21" s="62" t="s">
        <v>90</v>
      </c>
      <c r="C21" s="59"/>
      <c r="D21" s="54" t="s">
        <v>135</v>
      </c>
      <c r="E21" s="54" t="s">
        <v>136</v>
      </c>
      <c r="F21" s="2" t="s">
        <v>92</v>
      </c>
      <c r="G21" s="2" t="s">
        <v>667</v>
      </c>
      <c r="H21" s="222"/>
      <c r="I21" s="221">
        <v>0.0</v>
      </c>
      <c r="J21" s="221">
        <v>0.0</v>
      </c>
      <c r="K21" s="2" t="s">
        <v>92</v>
      </c>
      <c r="L21" s="2" t="s">
        <v>667</v>
      </c>
      <c r="M21" s="222"/>
      <c r="N21" s="221">
        <v>0.0</v>
      </c>
      <c r="O21" s="221">
        <v>0.0</v>
      </c>
      <c r="P21" s="2" t="s">
        <v>92</v>
      </c>
      <c r="Q21" s="2" t="s">
        <v>667</v>
      </c>
      <c r="R21" s="222"/>
      <c r="S21" s="221">
        <v>0.0</v>
      </c>
      <c r="T21" s="221">
        <v>0.0</v>
      </c>
      <c r="U21" s="2" t="s">
        <v>92</v>
      </c>
      <c r="V21" s="2" t="s">
        <v>667</v>
      </c>
      <c r="W21" s="222"/>
      <c r="X21" s="221">
        <v>0.0</v>
      </c>
      <c r="Y21" s="221">
        <v>0.0</v>
      </c>
      <c r="Z21" s="223">
        <v>0.0</v>
      </c>
      <c r="AA21" s="223">
        <v>0.0</v>
      </c>
      <c r="AB21" s="223">
        <v>0.0</v>
      </c>
      <c r="AC21" s="223">
        <v>0.0</v>
      </c>
      <c r="AD21" s="224">
        <v>0.0</v>
      </c>
      <c r="AE21" s="174">
        <f t="shared" si="1"/>
        <v>0</v>
      </c>
      <c r="AF21" s="225">
        <f t="shared" si="2"/>
        <v>14.5</v>
      </c>
    </row>
    <row r="22">
      <c r="A22" s="216">
        <v>19.0</v>
      </c>
      <c r="B22" s="62" t="s">
        <v>90</v>
      </c>
      <c r="C22" s="59"/>
      <c r="D22" s="43" t="s">
        <v>138</v>
      </c>
      <c r="E22" s="43" t="s">
        <v>139</v>
      </c>
      <c r="F22" s="2" t="s">
        <v>92</v>
      </c>
      <c r="G22" s="2" t="s">
        <v>667</v>
      </c>
      <c r="H22" s="222"/>
      <c r="I22" s="221">
        <v>0.0</v>
      </c>
      <c r="J22" s="221">
        <v>0.0</v>
      </c>
      <c r="K22" s="2" t="s">
        <v>92</v>
      </c>
      <c r="L22" s="2" t="s">
        <v>667</v>
      </c>
      <c r="M22" s="222"/>
      <c r="N22" s="221">
        <v>0.0</v>
      </c>
      <c r="O22" s="221">
        <v>0.0</v>
      </c>
      <c r="P22" s="2" t="s">
        <v>92</v>
      </c>
      <c r="Q22" s="2" t="s">
        <v>667</v>
      </c>
      <c r="R22" s="222"/>
      <c r="S22" s="221">
        <v>0.0</v>
      </c>
      <c r="T22" s="221">
        <v>0.0</v>
      </c>
      <c r="U22" s="2" t="s">
        <v>92</v>
      </c>
      <c r="V22" s="2" t="s">
        <v>667</v>
      </c>
      <c r="W22" s="222"/>
      <c r="X22" s="221">
        <v>0.0</v>
      </c>
      <c r="Y22" s="221">
        <v>0.0</v>
      </c>
      <c r="Z22" s="223">
        <v>0.0</v>
      </c>
      <c r="AA22" s="223">
        <v>0.0</v>
      </c>
      <c r="AB22" s="223">
        <v>0.0</v>
      </c>
      <c r="AC22" s="223">
        <v>0.0</v>
      </c>
      <c r="AD22" s="224">
        <v>0.0</v>
      </c>
      <c r="AE22" s="174">
        <f t="shared" si="1"/>
        <v>0</v>
      </c>
      <c r="AF22" s="225">
        <f t="shared" si="2"/>
        <v>14.5</v>
      </c>
    </row>
    <row r="23">
      <c r="A23" s="39">
        <v>20.0</v>
      </c>
      <c r="B23" s="62" t="s">
        <v>90</v>
      </c>
      <c r="C23" s="59"/>
      <c r="D23" s="43" t="s">
        <v>146</v>
      </c>
      <c r="E23" s="43" t="s">
        <v>149</v>
      </c>
      <c r="F23" s="2" t="s">
        <v>92</v>
      </c>
      <c r="G23" s="2" t="s">
        <v>667</v>
      </c>
      <c r="H23" s="222"/>
      <c r="I23" s="221">
        <v>0.0</v>
      </c>
      <c r="J23" s="221">
        <v>0.0</v>
      </c>
      <c r="K23" s="2" t="s">
        <v>92</v>
      </c>
      <c r="L23" s="2" t="s">
        <v>667</v>
      </c>
      <c r="M23" s="222"/>
      <c r="N23" s="221">
        <v>0.0</v>
      </c>
      <c r="O23" s="221">
        <v>0.0</v>
      </c>
      <c r="P23" s="2" t="s">
        <v>92</v>
      </c>
      <c r="Q23" s="2" t="s">
        <v>667</v>
      </c>
      <c r="R23" s="222"/>
      <c r="S23" s="221">
        <v>0.0</v>
      </c>
      <c r="T23" s="221">
        <v>0.0</v>
      </c>
      <c r="U23" s="2" t="s">
        <v>92</v>
      </c>
      <c r="V23" s="2" t="s">
        <v>667</v>
      </c>
      <c r="W23" s="222"/>
      <c r="X23" s="221">
        <v>0.0</v>
      </c>
      <c r="Y23" s="221">
        <v>0.0</v>
      </c>
      <c r="Z23" s="223">
        <v>0.0</v>
      </c>
      <c r="AA23" s="223">
        <v>0.0</v>
      </c>
      <c r="AB23" s="223">
        <v>0.0</v>
      </c>
      <c r="AC23" s="223">
        <v>0.0</v>
      </c>
      <c r="AD23" s="224">
        <v>0.0</v>
      </c>
      <c r="AE23" s="174">
        <f t="shared" si="1"/>
        <v>0</v>
      </c>
      <c r="AF23" s="225">
        <f t="shared" si="2"/>
        <v>14.5</v>
      </c>
    </row>
    <row r="24">
      <c r="A24" s="216">
        <v>21.0</v>
      </c>
      <c r="B24" s="105" t="s">
        <v>90</v>
      </c>
      <c r="C24" s="68"/>
      <c r="D24" s="74" t="s">
        <v>153</v>
      </c>
      <c r="E24" s="74" t="s">
        <v>154</v>
      </c>
      <c r="F24" s="2" t="s">
        <v>92</v>
      </c>
      <c r="G24" s="2" t="s">
        <v>667</v>
      </c>
      <c r="H24" s="222"/>
      <c r="I24" s="221">
        <v>0.0</v>
      </c>
      <c r="J24" s="221">
        <v>0.0</v>
      </c>
      <c r="K24" s="2" t="s">
        <v>92</v>
      </c>
      <c r="L24" s="2" t="s">
        <v>667</v>
      </c>
      <c r="M24" s="222"/>
      <c r="N24" s="221">
        <v>0.0</v>
      </c>
      <c r="O24" s="221">
        <v>0.0</v>
      </c>
      <c r="P24" s="2" t="s">
        <v>92</v>
      </c>
      <c r="Q24" s="2" t="s">
        <v>667</v>
      </c>
      <c r="R24" s="222"/>
      <c r="S24" s="221">
        <v>0.0</v>
      </c>
      <c r="T24" s="221">
        <v>0.0</v>
      </c>
      <c r="U24" s="2" t="s">
        <v>92</v>
      </c>
      <c r="V24" s="2" t="s">
        <v>667</v>
      </c>
      <c r="W24" s="222"/>
      <c r="X24" s="221">
        <v>0.0</v>
      </c>
      <c r="Y24" s="221">
        <v>0.0</v>
      </c>
      <c r="Z24" s="223">
        <v>0.0</v>
      </c>
      <c r="AA24" s="223">
        <v>0.0</v>
      </c>
      <c r="AB24" s="223">
        <v>0.0</v>
      </c>
      <c r="AC24" s="223">
        <v>0.0</v>
      </c>
      <c r="AD24" s="224">
        <v>0.0</v>
      </c>
      <c r="AE24" s="174">
        <f t="shared" si="1"/>
        <v>0</v>
      </c>
      <c r="AF24" s="225">
        <f t="shared" si="2"/>
        <v>14.5</v>
      </c>
    </row>
    <row r="25">
      <c r="A25" s="39">
        <v>22.0</v>
      </c>
      <c r="B25" s="62" t="s">
        <v>90</v>
      </c>
      <c r="C25" s="59"/>
      <c r="D25" s="54" t="s">
        <v>162</v>
      </c>
      <c r="E25" s="54" t="s">
        <v>163</v>
      </c>
      <c r="F25" s="2" t="s">
        <v>92</v>
      </c>
      <c r="G25" s="2" t="s">
        <v>667</v>
      </c>
      <c r="H25" s="222"/>
      <c r="I25" s="221">
        <v>0.0</v>
      </c>
      <c r="J25" s="221">
        <v>0.0</v>
      </c>
      <c r="K25" s="2" t="s">
        <v>92</v>
      </c>
      <c r="L25" s="2" t="s">
        <v>667</v>
      </c>
      <c r="M25" s="222"/>
      <c r="N25" s="221">
        <v>0.0</v>
      </c>
      <c r="O25" s="221">
        <v>0.0</v>
      </c>
      <c r="P25" s="2" t="s">
        <v>92</v>
      </c>
      <c r="Q25" s="2" t="s">
        <v>667</v>
      </c>
      <c r="R25" s="222"/>
      <c r="S25" s="221">
        <v>0.0</v>
      </c>
      <c r="T25" s="221">
        <v>0.0</v>
      </c>
      <c r="U25" s="2" t="s">
        <v>92</v>
      </c>
      <c r="V25" s="2" t="s">
        <v>667</v>
      </c>
      <c r="W25" s="222"/>
      <c r="X25" s="221">
        <v>0.0</v>
      </c>
      <c r="Y25" s="221">
        <v>0.0</v>
      </c>
      <c r="Z25" s="223">
        <v>0.0</v>
      </c>
      <c r="AA25" s="223">
        <v>0.0</v>
      </c>
      <c r="AB25" s="223">
        <v>0.0</v>
      </c>
      <c r="AC25" s="223">
        <v>0.0</v>
      </c>
      <c r="AD25" s="224">
        <v>0.0</v>
      </c>
      <c r="AE25" s="174">
        <f t="shared" si="1"/>
        <v>0</v>
      </c>
      <c r="AF25" s="225">
        <f t="shared" si="2"/>
        <v>14.5</v>
      </c>
    </row>
    <row r="26">
      <c r="A26" s="216">
        <v>23.0</v>
      </c>
      <c r="B26" s="105" t="s">
        <v>90</v>
      </c>
      <c r="C26" s="68"/>
      <c r="D26" s="70" t="s">
        <v>165</v>
      </c>
      <c r="E26" s="74" t="s">
        <v>166</v>
      </c>
      <c r="F26" s="2" t="s">
        <v>92</v>
      </c>
      <c r="G26" s="2" t="s">
        <v>667</v>
      </c>
      <c r="H26" s="222"/>
      <c r="I26" s="221">
        <v>0.0</v>
      </c>
      <c r="J26" s="221">
        <v>0.0</v>
      </c>
      <c r="K26" s="2" t="s">
        <v>92</v>
      </c>
      <c r="L26" s="2" t="s">
        <v>667</v>
      </c>
      <c r="M26" s="222"/>
      <c r="N26" s="221">
        <v>0.0</v>
      </c>
      <c r="O26" s="221">
        <v>0.0</v>
      </c>
      <c r="P26" s="2" t="s">
        <v>92</v>
      </c>
      <c r="Q26" s="2" t="s">
        <v>667</v>
      </c>
      <c r="R26" s="222"/>
      <c r="S26" s="221">
        <v>0.0</v>
      </c>
      <c r="T26" s="221">
        <v>0.0</v>
      </c>
      <c r="U26" s="2" t="s">
        <v>92</v>
      </c>
      <c r="V26" s="2" t="s">
        <v>667</v>
      </c>
      <c r="W26" s="222"/>
      <c r="X26" s="221">
        <v>0.0</v>
      </c>
      <c r="Y26" s="221">
        <v>0.0</v>
      </c>
      <c r="Z26" s="223">
        <v>0.0</v>
      </c>
      <c r="AA26" s="223">
        <v>0.0</v>
      </c>
      <c r="AB26" s="223">
        <v>0.0</v>
      </c>
      <c r="AC26" s="223">
        <v>0.0</v>
      </c>
      <c r="AD26" s="224">
        <v>0.0</v>
      </c>
      <c r="AE26" s="174">
        <f t="shared" si="1"/>
        <v>0</v>
      </c>
      <c r="AF26" s="225">
        <f t="shared" si="2"/>
        <v>14.5</v>
      </c>
    </row>
    <row r="27">
      <c r="A27" s="39">
        <v>24.0</v>
      </c>
      <c r="B27" s="62" t="s">
        <v>90</v>
      </c>
      <c r="C27" s="59"/>
      <c r="D27" s="43" t="s">
        <v>175</v>
      </c>
      <c r="E27" s="43" t="s">
        <v>80</v>
      </c>
      <c r="F27" s="2" t="s">
        <v>92</v>
      </c>
      <c r="G27" s="2" t="s">
        <v>667</v>
      </c>
      <c r="H27" s="222"/>
      <c r="I27" s="221">
        <v>0.0</v>
      </c>
      <c r="J27" s="221">
        <v>0.0</v>
      </c>
      <c r="K27" s="2" t="s">
        <v>92</v>
      </c>
      <c r="L27" s="2" t="s">
        <v>667</v>
      </c>
      <c r="M27" s="222"/>
      <c r="N27" s="221">
        <v>0.0</v>
      </c>
      <c r="O27" s="221">
        <v>0.0</v>
      </c>
      <c r="P27" s="2" t="s">
        <v>92</v>
      </c>
      <c r="Q27" s="2" t="s">
        <v>667</v>
      </c>
      <c r="R27" s="222"/>
      <c r="S27" s="221">
        <v>0.0</v>
      </c>
      <c r="T27" s="221">
        <v>0.0</v>
      </c>
      <c r="U27" s="2" t="s">
        <v>92</v>
      </c>
      <c r="V27" s="2" t="s">
        <v>667</v>
      </c>
      <c r="W27" s="222"/>
      <c r="X27" s="221">
        <v>0.0</v>
      </c>
      <c r="Y27" s="221">
        <v>0.0</v>
      </c>
      <c r="Z27" s="223">
        <v>0.0</v>
      </c>
      <c r="AA27" s="223">
        <v>0.0</v>
      </c>
      <c r="AB27" s="223">
        <v>0.0</v>
      </c>
      <c r="AC27" s="223">
        <v>0.0</v>
      </c>
      <c r="AD27" s="224">
        <v>0.0</v>
      </c>
      <c r="AE27" s="174">
        <f t="shared" si="1"/>
        <v>0</v>
      </c>
      <c r="AF27" s="225">
        <f t="shared" si="2"/>
        <v>14.5</v>
      </c>
    </row>
    <row r="28">
      <c r="A28" s="216">
        <v>25.0</v>
      </c>
      <c r="B28" s="62" t="s">
        <v>90</v>
      </c>
      <c r="C28" s="59"/>
      <c r="D28" s="46" t="s">
        <v>180</v>
      </c>
      <c r="E28" s="46" t="s">
        <v>181</v>
      </c>
      <c r="F28" s="2" t="s">
        <v>92</v>
      </c>
      <c r="G28" s="2" t="s">
        <v>667</v>
      </c>
      <c r="H28" s="222"/>
      <c r="I28" s="221">
        <v>0.0</v>
      </c>
      <c r="J28" s="221">
        <v>0.0</v>
      </c>
      <c r="K28" s="2" t="s">
        <v>92</v>
      </c>
      <c r="L28" s="2" t="s">
        <v>667</v>
      </c>
      <c r="M28" s="222"/>
      <c r="N28" s="221">
        <v>0.0</v>
      </c>
      <c r="O28" s="221">
        <v>0.0</v>
      </c>
      <c r="P28" s="2" t="s">
        <v>92</v>
      </c>
      <c r="Q28" s="2" t="s">
        <v>667</v>
      </c>
      <c r="R28" s="222"/>
      <c r="S28" s="221">
        <v>0.0</v>
      </c>
      <c r="T28" s="221">
        <v>0.0</v>
      </c>
      <c r="U28" s="2" t="s">
        <v>92</v>
      </c>
      <c r="V28" s="2" t="s">
        <v>667</v>
      </c>
      <c r="W28" s="222"/>
      <c r="X28" s="221">
        <v>0.0</v>
      </c>
      <c r="Y28" s="221">
        <v>0.0</v>
      </c>
      <c r="Z28" s="223">
        <v>0.0</v>
      </c>
      <c r="AA28" s="223">
        <v>0.0</v>
      </c>
      <c r="AB28" s="223">
        <v>0.0</v>
      </c>
      <c r="AC28" s="223">
        <v>0.0</v>
      </c>
      <c r="AD28" s="224">
        <v>0.0</v>
      </c>
      <c r="AE28" s="174">
        <f t="shared" si="1"/>
        <v>0</v>
      </c>
      <c r="AF28" s="225">
        <f t="shared" si="2"/>
        <v>14.5</v>
      </c>
    </row>
    <row r="29">
      <c r="A29" s="39">
        <v>26.0</v>
      </c>
      <c r="B29" s="105" t="s">
        <v>90</v>
      </c>
      <c r="C29" s="68"/>
      <c r="D29" s="70" t="s">
        <v>184</v>
      </c>
      <c r="E29" s="74" t="s">
        <v>185</v>
      </c>
      <c r="F29" s="2" t="s">
        <v>92</v>
      </c>
      <c r="G29" s="2" t="s">
        <v>667</v>
      </c>
      <c r="H29" s="222"/>
      <c r="I29" s="221">
        <v>0.0</v>
      </c>
      <c r="J29" s="221">
        <v>0.0</v>
      </c>
      <c r="K29" s="2" t="s">
        <v>92</v>
      </c>
      <c r="L29" s="2" t="s">
        <v>667</v>
      </c>
      <c r="M29" s="222"/>
      <c r="N29" s="221">
        <v>0.0</v>
      </c>
      <c r="O29" s="221">
        <v>0.0</v>
      </c>
      <c r="P29" s="2" t="s">
        <v>92</v>
      </c>
      <c r="Q29" s="2" t="s">
        <v>667</v>
      </c>
      <c r="R29" s="222"/>
      <c r="S29" s="221">
        <v>0.0</v>
      </c>
      <c r="T29" s="221">
        <v>0.0</v>
      </c>
      <c r="U29" s="2" t="s">
        <v>92</v>
      </c>
      <c r="V29" s="2" t="s">
        <v>667</v>
      </c>
      <c r="W29" s="222"/>
      <c r="X29" s="221">
        <v>0.0</v>
      </c>
      <c r="Y29" s="221">
        <v>0.0</v>
      </c>
      <c r="Z29" s="223">
        <v>0.0</v>
      </c>
      <c r="AA29" s="223">
        <v>0.0</v>
      </c>
      <c r="AB29" s="223">
        <v>0.0</v>
      </c>
      <c r="AC29" s="223">
        <v>0.0</v>
      </c>
      <c r="AD29" s="224">
        <v>0.0</v>
      </c>
      <c r="AE29" s="174">
        <f t="shared" si="1"/>
        <v>0</v>
      </c>
      <c r="AF29" s="225">
        <f t="shared" si="2"/>
        <v>14.5</v>
      </c>
    </row>
    <row r="30">
      <c r="A30" s="216">
        <v>27.0</v>
      </c>
      <c r="B30" s="62" t="s">
        <v>90</v>
      </c>
      <c r="C30" s="59"/>
      <c r="D30" s="54" t="s">
        <v>193</v>
      </c>
      <c r="E30" s="54" t="s">
        <v>194</v>
      </c>
      <c r="F30" s="218" t="s">
        <v>92</v>
      </c>
      <c r="G30" s="2" t="s">
        <v>667</v>
      </c>
      <c r="H30" s="222"/>
      <c r="I30" s="221">
        <v>0.0</v>
      </c>
      <c r="J30" s="221">
        <v>0.0</v>
      </c>
      <c r="K30" s="2" t="s">
        <v>92</v>
      </c>
      <c r="L30" s="2" t="s">
        <v>667</v>
      </c>
      <c r="M30" s="222"/>
      <c r="N30" s="221">
        <v>0.0</v>
      </c>
      <c r="O30" s="221">
        <v>0.0</v>
      </c>
      <c r="P30" s="2" t="s">
        <v>92</v>
      </c>
      <c r="Q30" s="2" t="s">
        <v>667</v>
      </c>
      <c r="R30" s="222"/>
      <c r="S30" s="221">
        <v>0.0</v>
      </c>
      <c r="T30" s="221">
        <v>0.0</v>
      </c>
      <c r="U30" s="2" t="s">
        <v>92</v>
      </c>
      <c r="V30" s="2" t="s">
        <v>667</v>
      </c>
      <c r="W30" s="222"/>
      <c r="X30" s="221">
        <v>0.0</v>
      </c>
      <c r="Y30" s="221">
        <v>0.0</v>
      </c>
      <c r="Z30" s="223">
        <v>0.0</v>
      </c>
      <c r="AA30" s="223">
        <v>0.0</v>
      </c>
      <c r="AB30" s="223">
        <v>0.0</v>
      </c>
      <c r="AC30" s="223">
        <v>0.0</v>
      </c>
      <c r="AD30" s="224">
        <v>0.0</v>
      </c>
      <c r="AE30" s="174">
        <f t="shared" si="1"/>
        <v>0</v>
      </c>
      <c r="AF30" s="225">
        <f t="shared" si="2"/>
        <v>14.5</v>
      </c>
    </row>
    <row r="31">
      <c r="A31" s="39">
        <v>28.0</v>
      </c>
      <c r="B31" s="62" t="s">
        <v>90</v>
      </c>
      <c r="C31" s="59"/>
      <c r="D31" s="54" t="s">
        <v>199</v>
      </c>
      <c r="E31" s="54" t="s">
        <v>200</v>
      </c>
      <c r="F31" s="218" t="s">
        <v>92</v>
      </c>
      <c r="G31" s="2" t="s">
        <v>667</v>
      </c>
      <c r="H31" s="222"/>
      <c r="I31" s="221">
        <v>0.0</v>
      </c>
      <c r="J31" s="221">
        <v>0.0</v>
      </c>
      <c r="K31" s="2" t="s">
        <v>92</v>
      </c>
      <c r="L31" s="2" t="s">
        <v>667</v>
      </c>
      <c r="M31" s="222"/>
      <c r="N31" s="221">
        <v>0.0</v>
      </c>
      <c r="O31" s="221">
        <v>0.0</v>
      </c>
      <c r="P31" s="2" t="s">
        <v>92</v>
      </c>
      <c r="Q31" s="2" t="s">
        <v>667</v>
      </c>
      <c r="R31" s="222"/>
      <c r="S31" s="221">
        <v>0.0</v>
      </c>
      <c r="T31" s="221">
        <v>0.0</v>
      </c>
      <c r="U31" s="2" t="s">
        <v>92</v>
      </c>
      <c r="V31" s="2" t="s">
        <v>667</v>
      </c>
      <c r="W31" s="222"/>
      <c r="X31" s="221">
        <v>0.0</v>
      </c>
      <c r="Y31" s="221">
        <v>0.0</v>
      </c>
      <c r="Z31" s="223">
        <v>0.0</v>
      </c>
      <c r="AA31" s="223">
        <v>0.0</v>
      </c>
      <c r="AB31" s="223">
        <v>0.0</v>
      </c>
      <c r="AC31" s="223">
        <v>0.0</v>
      </c>
      <c r="AD31" s="224">
        <v>0.0</v>
      </c>
      <c r="AE31" s="174">
        <f t="shared" si="1"/>
        <v>0</v>
      </c>
      <c r="AF31" s="225">
        <f t="shared" si="2"/>
        <v>14.5</v>
      </c>
    </row>
    <row r="32">
      <c r="A32" s="216">
        <v>29.0</v>
      </c>
      <c r="B32" s="62" t="s">
        <v>90</v>
      </c>
      <c r="C32" s="59"/>
      <c r="D32" s="46" t="s">
        <v>206</v>
      </c>
      <c r="E32" s="46" t="s">
        <v>397</v>
      </c>
      <c r="F32" s="218" t="s">
        <v>92</v>
      </c>
      <c r="G32" s="2" t="s">
        <v>667</v>
      </c>
      <c r="H32" s="222"/>
      <c r="I32" s="221">
        <v>0.0</v>
      </c>
      <c r="J32" s="221">
        <v>0.0</v>
      </c>
      <c r="K32" s="2" t="s">
        <v>92</v>
      </c>
      <c r="L32" s="2" t="s">
        <v>667</v>
      </c>
      <c r="M32" s="222"/>
      <c r="N32" s="221">
        <v>0.0</v>
      </c>
      <c r="O32" s="221">
        <v>0.0</v>
      </c>
      <c r="P32" s="2" t="s">
        <v>92</v>
      </c>
      <c r="Q32" s="2" t="s">
        <v>667</v>
      </c>
      <c r="R32" s="222"/>
      <c r="S32" s="221">
        <v>0.0</v>
      </c>
      <c r="T32" s="221">
        <v>0.0</v>
      </c>
      <c r="U32" s="2" t="s">
        <v>92</v>
      </c>
      <c r="V32" s="2" t="s">
        <v>667</v>
      </c>
      <c r="W32" s="222"/>
      <c r="X32" s="221">
        <v>0.0</v>
      </c>
      <c r="Y32" s="221">
        <v>0.0</v>
      </c>
      <c r="Z32" s="223">
        <v>0.0</v>
      </c>
      <c r="AA32" s="223">
        <v>0.0</v>
      </c>
      <c r="AB32" s="223">
        <v>0.0</v>
      </c>
      <c r="AC32" s="223">
        <v>0.0</v>
      </c>
      <c r="AD32" s="224">
        <v>0.0</v>
      </c>
      <c r="AE32" s="174">
        <f t="shared" si="1"/>
        <v>0</v>
      </c>
      <c r="AF32" s="225">
        <f t="shared" si="2"/>
        <v>14.5</v>
      </c>
    </row>
    <row r="33">
      <c r="A33" s="39">
        <v>30.0</v>
      </c>
      <c r="B33" s="62" t="s">
        <v>90</v>
      </c>
      <c r="C33" s="59"/>
      <c r="D33" s="36" t="s">
        <v>210</v>
      </c>
      <c r="E33" s="36" t="s">
        <v>211</v>
      </c>
      <c r="F33" s="218" t="s">
        <v>92</v>
      </c>
      <c r="G33" s="2" t="s">
        <v>667</v>
      </c>
      <c r="H33" s="222"/>
      <c r="I33" s="221">
        <v>0.0</v>
      </c>
      <c r="J33" s="221">
        <v>0.0</v>
      </c>
      <c r="K33" s="2" t="s">
        <v>92</v>
      </c>
      <c r="L33" s="2" t="s">
        <v>667</v>
      </c>
      <c r="M33" s="222"/>
      <c r="N33" s="221">
        <v>0.0</v>
      </c>
      <c r="O33" s="221">
        <v>0.0</v>
      </c>
      <c r="P33" s="2" t="s">
        <v>92</v>
      </c>
      <c r="Q33" s="2" t="s">
        <v>667</v>
      </c>
      <c r="R33" s="222"/>
      <c r="S33" s="221">
        <v>0.0</v>
      </c>
      <c r="T33" s="221">
        <v>0.0</v>
      </c>
      <c r="U33" s="2" t="s">
        <v>92</v>
      </c>
      <c r="V33" s="2" t="s">
        <v>667</v>
      </c>
      <c r="W33" s="222"/>
      <c r="X33" s="221">
        <v>0.0</v>
      </c>
      <c r="Y33" s="221">
        <v>0.0</v>
      </c>
      <c r="Z33" s="223">
        <v>0.0</v>
      </c>
      <c r="AA33" s="223">
        <v>0.0</v>
      </c>
      <c r="AB33" s="223">
        <v>0.0</v>
      </c>
      <c r="AC33" s="223">
        <v>0.0</v>
      </c>
      <c r="AD33" s="224">
        <v>0.0</v>
      </c>
      <c r="AE33" s="174">
        <f t="shared" si="1"/>
        <v>0</v>
      </c>
      <c r="AF33" s="225">
        <f t="shared" si="2"/>
        <v>14.5</v>
      </c>
    </row>
    <row r="34">
      <c r="A34" s="216">
        <v>31.0</v>
      </c>
      <c r="B34" s="62" t="s">
        <v>90</v>
      </c>
      <c r="C34" s="59"/>
      <c r="D34" s="43" t="s">
        <v>219</v>
      </c>
      <c r="E34" s="43" t="s">
        <v>415</v>
      </c>
      <c r="F34" s="218" t="s">
        <v>92</v>
      </c>
      <c r="G34" s="2" t="s">
        <v>667</v>
      </c>
      <c r="H34" s="222"/>
      <c r="I34" s="221">
        <v>0.0</v>
      </c>
      <c r="J34" s="221">
        <v>0.0</v>
      </c>
      <c r="K34" s="2" t="s">
        <v>92</v>
      </c>
      <c r="L34" s="2" t="s">
        <v>667</v>
      </c>
      <c r="M34" s="222"/>
      <c r="N34" s="221">
        <v>0.0</v>
      </c>
      <c r="O34" s="221">
        <v>0.0</v>
      </c>
      <c r="P34" s="2" t="s">
        <v>92</v>
      </c>
      <c r="Q34" s="2" t="s">
        <v>667</v>
      </c>
      <c r="R34" s="222"/>
      <c r="S34" s="221">
        <v>0.0</v>
      </c>
      <c r="T34" s="221">
        <v>0.0</v>
      </c>
      <c r="U34" s="2" t="s">
        <v>92</v>
      </c>
      <c r="V34" s="2" t="s">
        <v>667</v>
      </c>
      <c r="W34" s="222"/>
      <c r="X34" s="221">
        <v>0.0</v>
      </c>
      <c r="Y34" s="221">
        <v>0.0</v>
      </c>
      <c r="Z34" s="223">
        <v>0.0</v>
      </c>
      <c r="AA34" s="223">
        <v>0.0</v>
      </c>
      <c r="AB34" s="223">
        <v>0.0</v>
      </c>
      <c r="AC34" s="223">
        <v>0.0</v>
      </c>
      <c r="AD34" s="224">
        <v>0.0</v>
      </c>
      <c r="AE34" s="174">
        <f t="shared" si="1"/>
        <v>0</v>
      </c>
      <c r="AF34" s="225">
        <f t="shared" si="2"/>
        <v>14.5</v>
      </c>
    </row>
    <row r="35">
      <c r="A35" s="39">
        <v>32.0</v>
      </c>
      <c r="B35" s="62" t="s">
        <v>90</v>
      </c>
      <c r="C35" s="55" t="s">
        <v>99</v>
      </c>
      <c r="D35" s="43" t="s">
        <v>219</v>
      </c>
      <c r="E35" s="43" t="s">
        <v>225</v>
      </c>
      <c r="F35" s="218" t="s">
        <v>92</v>
      </c>
      <c r="G35" s="2" t="s">
        <v>667</v>
      </c>
      <c r="H35" s="222"/>
      <c r="I35" s="221">
        <v>0.0</v>
      </c>
      <c r="J35" s="221">
        <v>0.0</v>
      </c>
      <c r="K35" s="2" t="s">
        <v>92</v>
      </c>
      <c r="L35" s="2" t="s">
        <v>667</v>
      </c>
      <c r="M35" s="222"/>
      <c r="N35" s="221">
        <v>0.0</v>
      </c>
      <c r="O35" s="221">
        <v>0.0</v>
      </c>
      <c r="P35" s="2" t="s">
        <v>92</v>
      </c>
      <c r="Q35" s="2" t="s">
        <v>667</v>
      </c>
      <c r="R35" s="222"/>
      <c r="S35" s="221">
        <v>0.0</v>
      </c>
      <c r="T35" s="221">
        <v>0.0</v>
      </c>
      <c r="U35" s="2" t="s">
        <v>92</v>
      </c>
      <c r="V35" s="2" t="s">
        <v>667</v>
      </c>
      <c r="W35" s="222"/>
      <c r="X35" s="221">
        <v>0.0</v>
      </c>
      <c r="Y35" s="221">
        <v>0.0</v>
      </c>
      <c r="Z35" s="223">
        <v>0.0</v>
      </c>
      <c r="AA35" s="223">
        <v>0.0</v>
      </c>
      <c r="AB35" s="223">
        <v>0.0</v>
      </c>
      <c r="AC35" s="223">
        <v>0.0</v>
      </c>
      <c r="AD35" s="224">
        <v>0.0</v>
      </c>
      <c r="AE35" s="174">
        <f t="shared" si="1"/>
        <v>0</v>
      </c>
      <c r="AF35" s="225">
        <f t="shared" si="2"/>
        <v>14.5</v>
      </c>
    </row>
    <row r="36">
      <c r="A36" s="216">
        <v>33.0</v>
      </c>
      <c r="B36" s="62" t="s">
        <v>90</v>
      </c>
      <c r="C36" s="59"/>
      <c r="D36" s="99" t="s">
        <v>233</v>
      </c>
      <c r="E36" s="99" t="s">
        <v>234</v>
      </c>
      <c r="F36" s="218" t="s">
        <v>92</v>
      </c>
      <c r="G36" s="2" t="s">
        <v>667</v>
      </c>
      <c r="H36" s="222"/>
      <c r="I36" s="221">
        <v>0.0</v>
      </c>
      <c r="J36" s="221">
        <v>0.0</v>
      </c>
      <c r="K36" s="2" t="s">
        <v>92</v>
      </c>
      <c r="L36" s="2" t="s">
        <v>667</v>
      </c>
      <c r="M36" s="222"/>
      <c r="N36" s="221">
        <v>0.0</v>
      </c>
      <c r="O36" s="221">
        <v>0.0</v>
      </c>
      <c r="P36" s="2" t="s">
        <v>92</v>
      </c>
      <c r="Q36" s="2" t="s">
        <v>667</v>
      </c>
      <c r="R36" s="222"/>
      <c r="S36" s="221">
        <v>0.0</v>
      </c>
      <c r="T36" s="221">
        <v>0.0</v>
      </c>
      <c r="U36" s="2" t="s">
        <v>92</v>
      </c>
      <c r="V36" s="2" t="s">
        <v>667</v>
      </c>
      <c r="W36" s="222"/>
      <c r="X36" s="221">
        <v>0.0</v>
      </c>
      <c r="Y36" s="221">
        <v>0.0</v>
      </c>
      <c r="Z36" s="223">
        <v>0.0</v>
      </c>
      <c r="AA36" s="223">
        <v>0.0</v>
      </c>
      <c r="AB36" s="223">
        <v>0.0</v>
      </c>
      <c r="AC36" s="223">
        <v>0.0</v>
      </c>
      <c r="AD36" s="224">
        <v>0.0</v>
      </c>
      <c r="AE36" s="174">
        <f t="shared" si="1"/>
        <v>0</v>
      </c>
      <c r="AF36" s="225">
        <f t="shared" si="2"/>
        <v>14.5</v>
      </c>
    </row>
    <row r="37">
      <c r="A37" s="39">
        <v>34.0</v>
      </c>
      <c r="B37" s="117" t="s">
        <v>90</v>
      </c>
      <c r="C37" s="113"/>
      <c r="D37" s="114" t="s">
        <v>243</v>
      </c>
      <c r="E37" s="114" t="s">
        <v>244</v>
      </c>
      <c r="F37" s="218" t="s">
        <v>92</v>
      </c>
      <c r="G37" s="2" t="s">
        <v>667</v>
      </c>
      <c r="H37" s="222"/>
      <c r="I37" s="221">
        <v>0.0</v>
      </c>
      <c r="J37" s="221">
        <v>0.0</v>
      </c>
      <c r="K37" s="2" t="s">
        <v>92</v>
      </c>
      <c r="L37" s="2" t="s">
        <v>667</v>
      </c>
      <c r="M37" s="222"/>
      <c r="N37" s="221">
        <v>0.0</v>
      </c>
      <c r="O37" s="221">
        <v>0.0</v>
      </c>
      <c r="P37" s="2" t="s">
        <v>92</v>
      </c>
      <c r="Q37" s="2" t="s">
        <v>667</v>
      </c>
      <c r="R37" s="222"/>
      <c r="S37" s="221">
        <v>0.0</v>
      </c>
      <c r="T37" s="221">
        <v>0.0</v>
      </c>
      <c r="U37" s="2" t="s">
        <v>92</v>
      </c>
      <c r="V37" s="2" t="s">
        <v>667</v>
      </c>
      <c r="W37" s="222"/>
      <c r="X37" s="221">
        <v>0.0</v>
      </c>
      <c r="Y37" s="221">
        <v>0.0</v>
      </c>
      <c r="Z37" s="223">
        <v>0.0</v>
      </c>
      <c r="AA37" s="223">
        <v>0.0</v>
      </c>
      <c r="AB37" s="223">
        <v>0.0</v>
      </c>
      <c r="AC37" s="223">
        <v>0.0</v>
      </c>
      <c r="AD37" s="224">
        <v>0.0</v>
      </c>
      <c r="AE37" s="174">
        <f t="shared" si="1"/>
        <v>0</v>
      </c>
      <c r="AF37" s="225">
        <f t="shared" si="2"/>
        <v>14.5</v>
      </c>
    </row>
    <row r="38">
      <c r="A38" s="216">
        <v>35.0</v>
      </c>
      <c r="B38" s="62" t="s">
        <v>90</v>
      </c>
      <c r="C38" s="55" t="s">
        <v>99</v>
      </c>
      <c r="D38" s="43" t="s">
        <v>435</v>
      </c>
      <c r="E38" s="43" t="s">
        <v>255</v>
      </c>
      <c r="F38" s="218" t="s">
        <v>92</v>
      </c>
      <c r="G38" s="2" t="s">
        <v>667</v>
      </c>
      <c r="H38" s="222"/>
      <c r="I38" s="221">
        <v>0.0</v>
      </c>
      <c r="J38" s="221">
        <v>0.0</v>
      </c>
      <c r="K38" s="2" t="s">
        <v>92</v>
      </c>
      <c r="L38" s="2" t="s">
        <v>667</v>
      </c>
      <c r="M38" s="222"/>
      <c r="N38" s="221">
        <v>0.0</v>
      </c>
      <c r="O38" s="221">
        <v>0.0</v>
      </c>
      <c r="P38" s="2" t="s">
        <v>92</v>
      </c>
      <c r="Q38" s="2" t="s">
        <v>667</v>
      </c>
      <c r="R38" s="222"/>
      <c r="S38" s="221">
        <v>0.0</v>
      </c>
      <c r="T38" s="221">
        <v>0.0</v>
      </c>
      <c r="U38" s="2" t="s">
        <v>92</v>
      </c>
      <c r="V38" s="2" t="s">
        <v>667</v>
      </c>
      <c r="W38" s="222"/>
      <c r="X38" s="221">
        <v>0.0</v>
      </c>
      <c r="Y38" s="221">
        <v>0.0</v>
      </c>
      <c r="Z38" s="223">
        <v>0.0</v>
      </c>
      <c r="AA38" s="223">
        <v>0.0</v>
      </c>
      <c r="AB38" s="223">
        <v>0.0</v>
      </c>
      <c r="AC38" s="223">
        <v>0.0</v>
      </c>
      <c r="AD38" s="224">
        <v>0.0</v>
      </c>
      <c r="AE38" s="174">
        <f t="shared" si="1"/>
        <v>0</v>
      </c>
      <c r="AF38" s="225">
        <f t="shared" si="2"/>
        <v>14.5</v>
      </c>
    </row>
    <row r="39">
      <c r="A39" s="39">
        <v>36.0</v>
      </c>
      <c r="B39" s="62" t="s">
        <v>90</v>
      </c>
      <c r="C39" s="59"/>
      <c r="D39" s="46" t="s">
        <v>261</v>
      </c>
      <c r="E39" s="46" t="s">
        <v>444</v>
      </c>
      <c r="F39" s="218" t="s">
        <v>92</v>
      </c>
      <c r="G39" s="2" t="s">
        <v>667</v>
      </c>
      <c r="H39" s="222"/>
      <c r="I39" s="221">
        <v>0.0</v>
      </c>
      <c r="J39" s="221">
        <v>0.0</v>
      </c>
      <c r="K39" s="2" t="s">
        <v>92</v>
      </c>
      <c r="L39" s="2" t="s">
        <v>667</v>
      </c>
      <c r="M39" s="222"/>
      <c r="N39" s="221">
        <v>0.0</v>
      </c>
      <c r="O39" s="221">
        <v>0.0</v>
      </c>
      <c r="P39" s="2" t="s">
        <v>92</v>
      </c>
      <c r="Q39" s="2" t="s">
        <v>667</v>
      </c>
      <c r="R39" s="222"/>
      <c r="S39" s="221">
        <v>0.0</v>
      </c>
      <c r="T39" s="221">
        <v>0.0</v>
      </c>
      <c r="U39" s="2" t="s">
        <v>92</v>
      </c>
      <c r="V39" s="2" t="s">
        <v>667</v>
      </c>
      <c r="W39" s="222"/>
      <c r="X39" s="221">
        <v>0.0</v>
      </c>
      <c r="Y39" s="221">
        <v>0.0</v>
      </c>
      <c r="Z39" s="223">
        <v>0.0</v>
      </c>
      <c r="AA39" s="223">
        <v>0.0</v>
      </c>
      <c r="AB39" s="223">
        <v>0.0</v>
      </c>
      <c r="AC39" s="223">
        <v>0.0</v>
      </c>
      <c r="AD39" s="224">
        <v>0.0</v>
      </c>
      <c r="AE39" s="174">
        <f t="shared" si="1"/>
        <v>0</v>
      </c>
      <c r="AF39" s="225">
        <f t="shared" si="2"/>
        <v>14.5</v>
      </c>
    </row>
    <row r="40">
      <c r="A40" s="216">
        <v>37.0</v>
      </c>
      <c r="B40" s="62" t="s">
        <v>90</v>
      </c>
      <c r="C40" s="59"/>
      <c r="D40" s="46" t="s">
        <v>270</v>
      </c>
      <c r="E40" s="46" t="s">
        <v>271</v>
      </c>
      <c r="F40" s="218" t="s">
        <v>92</v>
      </c>
      <c r="G40" s="2" t="s">
        <v>667</v>
      </c>
      <c r="H40" s="222"/>
      <c r="I40" s="221">
        <v>0.0</v>
      </c>
      <c r="J40" s="221">
        <v>0.0</v>
      </c>
      <c r="K40" s="2" t="s">
        <v>92</v>
      </c>
      <c r="L40" s="2" t="s">
        <v>667</v>
      </c>
      <c r="M40" s="222"/>
      <c r="N40" s="221">
        <v>0.0</v>
      </c>
      <c r="O40" s="221">
        <v>0.0</v>
      </c>
      <c r="P40" s="2" t="s">
        <v>92</v>
      </c>
      <c r="Q40" s="2" t="s">
        <v>667</v>
      </c>
      <c r="R40" s="222"/>
      <c r="S40" s="221">
        <v>0.0</v>
      </c>
      <c r="T40" s="221">
        <v>0.0</v>
      </c>
      <c r="U40" s="2" t="s">
        <v>92</v>
      </c>
      <c r="V40" s="2" t="s">
        <v>667</v>
      </c>
      <c r="W40" s="222"/>
      <c r="X40" s="221">
        <v>0.0</v>
      </c>
      <c r="Y40" s="221">
        <v>0.0</v>
      </c>
      <c r="Z40" s="223">
        <v>0.0</v>
      </c>
      <c r="AA40" s="223">
        <v>0.0</v>
      </c>
      <c r="AB40" s="223">
        <v>0.0</v>
      </c>
      <c r="AC40" s="223">
        <v>0.0</v>
      </c>
      <c r="AD40" s="224">
        <v>0.0</v>
      </c>
      <c r="AE40" s="174">
        <f t="shared" si="1"/>
        <v>0</v>
      </c>
      <c r="AF40" s="225">
        <f t="shared" si="2"/>
        <v>14.5</v>
      </c>
    </row>
    <row r="41">
      <c r="A41" s="39">
        <v>38.0</v>
      </c>
      <c r="B41" s="105" t="s">
        <v>90</v>
      </c>
      <c r="C41" s="68"/>
      <c r="D41" s="70" t="s">
        <v>275</v>
      </c>
      <c r="E41" s="74" t="s">
        <v>277</v>
      </c>
      <c r="F41" s="218" t="s">
        <v>92</v>
      </c>
      <c r="G41" s="2" t="s">
        <v>667</v>
      </c>
      <c r="H41" s="222"/>
      <c r="I41" s="221">
        <v>0.0</v>
      </c>
      <c r="J41" s="221">
        <v>0.0</v>
      </c>
      <c r="K41" s="2" t="s">
        <v>92</v>
      </c>
      <c r="L41" s="2" t="s">
        <v>667</v>
      </c>
      <c r="M41" s="222"/>
      <c r="N41" s="221">
        <v>0.0</v>
      </c>
      <c r="O41" s="221">
        <v>0.0</v>
      </c>
      <c r="P41" s="2" t="s">
        <v>92</v>
      </c>
      <c r="Q41" s="2" t="s">
        <v>667</v>
      </c>
      <c r="R41" s="222"/>
      <c r="S41" s="221">
        <v>0.0</v>
      </c>
      <c r="T41" s="221">
        <v>0.0</v>
      </c>
      <c r="U41" s="2" t="s">
        <v>92</v>
      </c>
      <c r="V41" s="2" t="s">
        <v>667</v>
      </c>
      <c r="W41" s="222"/>
      <c r="X41" s="221">
        <v>0.0</v>
      </c>
      <c r="Y41" s="221">
        <v>0.0</v>
      </c>
      <c r="Z41" s="223">
        <v>0.0</v>
      </c>
      <c r="AA41" s="223">
        <v>0.0</v>
      </c>
      <c r="AB41" s="223">
        <v>0.0</v>
      </c>
      <c r="AC41" s="223">
        <v>0.0</v>
      </c>
      <c r="AD41" s="224">
        <v>0.0</v>
      </c>
      <c r="AE41" s="174">
        <f t="shared" si="1"/>
        <v>0</v>
      </c>
      <c r="AF41" s="225">
        <f t="shared" si="2"/>
        <v>14.5</v>
      </c>
    </row>
    <row r="42">
      <c r="A42" s="216">
        <v>39.0</v>
      </c>
      <c r="B42" s="62" t="s">
        <v>90</v>
      </c>
      <c r="C42" s="59"/>
      <c r="D42" s="43" t="s">
        <v>281</v>
      </c>
      <c r="E42" s="43" t="s">
        <v>282</v>
      </c>
      <c r="F42" s="218" t="s">
        <v>92</v>
      </c>
      <c r="G42" s="2" t="s">
        <v>667</v>
      </c>
      <c r="H42" s="222"/>
      <c r="I42" s="221">
        <v>0.0</v>
      </c>
      <c r="J42" s="221">
        <v>0.0</v>
      </c>
      <c r="K42" s="2" t="s">
        <v>92</v>
      </c>
      <c r="L42" s="2" t="s">
        <v>667</v>
      </c>
      <c r="M42" s="222"/>
      <c r="N42" s="221">
        <v>0.0</v>
      </c>
      <c r="O42" s="221">
        <v>0.0</v>
      </c>
      <c r="P42" s="2" t="s">
        <v>92</v>
      </c>
      <c r="Q42" s="2" t="s">
        <v>667</v>
      </c>
      <c r="R42" s="222"/>
      <c r="S42" s="221">
        <v>0.0</v>
      </c>
      <c r="T42" s="221">
        <v>0.0</v>
      </c>
      <c r="U42" s="2" t="s">
        <v>92</v>
      </c>
      <c r="V42" s="2" t="s">
        <v>667</v>
      </c>
      <c r="W42" s="222"/>
      <c r="X42" s="221">
        <v>0.0</v>
      </c>
      <c r="Y42" s="221">
        <v>0.0</v>
      </c>
      <c r="Z42" s="223">
        <v>0.0</v>
      </c>
      <c r="AA42" s="223">
        <v>0.0</v>
      </c>
      <c r="AB42" s="223">
        <v>0.0</v>
      </c>
      <c r="AC42" s="223">
        <v>0.0</v>
      </c>
      <c r="AD42" s="224">
        <v>0.0</v>
      </c>
      <c r="AE42" s="174">
        <f t="shared" si="1"/>
        <v>0</v>
      </c>
      <c r="AF42" s="225">
        <f t="shared" si="2"/>
        <v>14.5</v>
      </c>
    </row>
    <row r="43">
      <c r="A43" s="39">
        <v>40.0</v>
      </c>
      <c r="B43" s="117" t="s">
        <v>90</v>
      </c>
      <c r="C43" s="113"/>
      <c r="D43" s="115" t="s">
        <v>289</v>
      </c>
      <c r="E43" s="115" t="s">
        <v>246</v>
      </c>
      <c r="F43" s="218" t="s">
        <v>92</v>
      </c>
      <c r="G43" s="2" t="s">
        <v>667</v>
      </c>
      <c r="H43" s="222"/>
      <c r="I43" s="221">
        <v>0.0</v>
      </c>
      <c r="J43" s="221">
        <v>0.0</v>
      </c>
      <c r="K43" s="2" t="s">
        <v>92</v>
      </c>
      <c r="L43" s="2" t="s">
        <v>667</v>
      </c>
      <c r="M43" s="222"/>
      <c r="N43" s="221">
        <v>0.0</v>
      </c>
      <c r="O43" s="221">
        <v>0.0</v>
      </c>
      <c r="P43" s="2" t="s">
        <v>92</v>
      </c>
      <c r="Q43" s="2" t="s">
        <v>667</v>
      </c>
      <c r="R43" s="222"/>
      <c r="S43" s="221">
        <v>0.0</v>
      </c>
      <c r="T43" s="221">
        <v>0.0</v>
      </c>
      <c r="U43" s="2" t="s">
        <v>92</v>
      </c>
      <c r="V43" s="2" t="s">
        <v>667</v>
      </c>
      <c r="W43" s="222"/>
      <c r="X43" s="221">
        <v>0.0</v>
      </c>
      <c r="Y43" s="221">
        <v>0.0</v>
      </c>
      <c r="Z43" s="223">
        <v>0.0</v>
      </c>
      <c r="AA43" s="223">
        <v>0.0</v>
      </c>
      <c r="AB43" s="223">
        <v>0.0</v>
      </c>
      <c r="AC43" s="223">
        <v>0.0</v>
      </c>
      <c r="AD43" s="224">
        <v>0.0</v>
      </c>
      <c r="AE43" s="174">
        <f t="shared" si="1"/>
        <v>0</v>
      </c>
      <c r="AF43" s="225">
        <f t="shared" si="2"/>
        <v>14.5</v>
      </c>
    </row>
    <row r="44">
      <c r="A44" s="216">
        <v>41.0</v>
      </c>
      <c r="B44" s="62" t="s">
        <v>90</v>
      </c>
      <c r="C44" s="59"/>
      <c r="D44" s="46" t="s">
        <v>294</v>
      </c>
      <c r="E44" s="46" t="s">
        <v>295</v>
      </c>
      <c r="F44" s="218" t="s">
        <v>92</v>
      </c>
      <c r="G44" s="2" t="s">
        <v>667</v>
      </c>
      <c r="H44" s="222"/>
      <c r="I44" s="221">
        <v>0.0</v>
      </c>
      <c r="J44" s="221">
        <v>0.0</v>
      </c>
      <c r="K44" s="2" t="s">
        <v>92</v>
      </c>
      <c r="L44" s="2" t="s">
        <v>667</v>
      </c>
      <c r="M44" s="222"/>
      <c r="N44" s="221">
        <v>0.0</v>
      </c>
      <c r="O44" s="221">
        <v>0.0</v>
      </c>
      <c r="P44" s="2" t="s">
        <v>92</v>
      </c>
      <c r="Q44" s="2" t="s">
        <v>667</v>
      </c>
      <c r="R44" s="222"/>
      <c r="S44" s="221">
        <v>0.0</v>
      </c>
      <c r="T44" s="221">
        <v>0.0</v>
      </c>
      <c r="U44" s="2" t="s">
        <v>92</v>
      </c>
      <c r="V44" s="2" t="s">
        <v>667</v>
      </c>
      <c r="W44" s="222"/>
      <c r="X44" s="221">
        <v>0.0</v>
      </c>
      <c r="Y44" s="221">
        <v>0.0</v>
      </c>
      <c r="Z44" s="223">
        <v>0.0</v>
      </c>
      <c r="AA44" s="223">
        <v>0.0</v>
      </c>
      <c r="AB44" s="223">
        <v>0.0</v>
      </c>
      <c r="AC44" s="223">
        <v>0.0</v>
      </c>
      <c r="AD44" s="224">
        <v>0.0</v>
      </c>
      <c r="AE44" s="174">
        <f t="shared" si="1"/>
        <v>0</v>
      </c>
      <c r="AF44" s="225">
        <f t="shared" si="2"/>
        <v>14.5</v>
      </c>
    </row>
    <row r="45">
      <c r="A45" s="39">
        <v>42.0</v>
      </c>
      <c r="B45" s="62" t="s">
        <v>90</v>
      </c>
      <c r="C45" s="59"/>
      <c r="D45" s="36" t="s">
        <v>304</v>
      </c>
      <c r="E45" s="36" t="s">
        <v>305</v>
      </c>
      <c r="F45" s="218" t="s">
        <v>92</v>
      </c>
      <c r="G45" s="2" t="s">
        <v>667</v>
      </c>
      <c r="H45" s="222"/>
      <c r="I45" s="221">
        <v>0.0</v>
      </c>
      <c r="J45" s="221">
        <v>0.0</v>
      </c>
      <c r="K45" s="2" t="s">
        <v>92</v>
      </c>
      <c r="L45" s="2" t="s">
        <v>667</v>
      </c>
      <c r="M45" s="222"/>
      <c r="N45" s="221">
        <v>0.0</v>
      </c>
      <c r="O45" s="221">
        <v>0.0</v>
      </c>
      <c r="P45" s="2" t="s">
        <v>92</v>
      </c>
      <c r="Q45" s="2" t="s">
        <v>667</v>
      </c>
      <c r="R45" s="222"/>
      <c r="S45" s="221">
        <v>0.0</v>
      </c>
      <c r="T45" s="221">
        <v>0.0</v>
      </c>
      <c r="U45" s="2" t="s">
        <v>92</v>
      </c>
      <c r="V45" s="2" t="s">
        <v>667</v>
      </c>
      <c r="W45" s="222"/>
      <c r="X45" s="221">
        <v>0.0</v>
      </c>
      <c r="Y45" s="221">
        <v>0.0</v>
      </c>
      <c r="Z45" s="223">
        <v>0.0</v>
      </c>
      <c r="AA45" s="223">
        <v>0.0</v>
      </c>
      <c r="AB45" s="223">
        <v>0.0</v>
      </c>
      <c r="AC45" s="223">
        <v>0.0</v>
      </c>
      <c r="AD45" s="224">
        <v>0.0</v>
      </c>
      <c r="AE45" s="174">
        <f t="shared" si="1"/>
        <v>0</v>
      </c>
      <c r="AF45" s="225">
        <f t="shared" si="2"/>
        <v>14.5</v>
      </c>
    </row>
    <row r="46" hidden="1">
      <c r="A46" s="216">
        <v>43.0</v>
      </c>
      <c r="B46" s="121" t="s">
        <v>90</v>
      </c>
      <c r="C46" s="87"/>
      <c r="D46" s="46" t="s">
        <v>320</v>
      </c>
      <c r="E46" s="46" t="s">
        <v>321</v>
      </c>
      <c r="F46" s="218" t="s">
        <v>92</v>
      </c>
      <c r="G46" s="2" t="s">
        <v>667</v>
      </c>
      <c r="H46" s="222"/>
      <c r="I46" s="221">
        <v>0.0</v>
      </c>
      <c r="J46" s="221">
        <v>0.0</v>
      </c>
      <c r="K46" s="2" t="s">
        <v>92</v>
      </c>
      <c r="L46" s="2" t="s">
        <v>667</v>
      </c>
      <c r="M46" s="222"/>
      <c r="N46" s="221">
        <v>0.0</v>
      </c>
      <c r="O46" s="221">
        <v>0.0</v>
      </c>
      <c r="P46" s="2" t="s">
        <v>92</v>
      </c>
      <c r="Q46" s="2" t="s">
        <v>667</v>
      </c>
      <c r="R46" s="222"/>
      <c r="S46" s="221">
        <v>0.0</v>
      </c>
      <c r="T46" s="221">
        <v>0.0</v>
      </c>
      <c r="U46" s="2" t="s">
        <v>92</v>
      </c>
      <c r="V46" s="2" t="s">
        <v>667</v>
      </c>
      <c r="W46" s="222"/>
      <c r="X46" s="221">
        <v>0.0</v>
      </c>
      <c r="Y46" s="221">
        <v>0.0</v>
      </c>
      <c r="Z46" s="223">
        <v>0.0</v>
      </c>
      <c r="AA46" s="223">
        <v>0.0</v>
      </c>
      <c r="AB46" s="223">
        <v>0.0</v>
      </c>
      <c r="AC46" s="223">
        <v>0.0</v>
      </c>
      <c r="AD46" s="224">
        <v>0.0</v>
      </c>
      <c r="AE46" s="174">
        <f t="shared" si="1"/>
        <v>0</v>
      </c>
      <c r="AF46" s="225">
        <f t="shared" si="2"/>
        <v>14.5</v>
      </c>
    </row>
    <row r="47">
      <c r="A47" s="39">
        <v>44.0</v>
      </c>
      <c r="B47" s="62" t="s">
        <v>90</v>
      </c>
      <c r="C47" s="59"/>
      <c r="D47" s="46" t="s">
        <v>328</v>
      </c>
      <c r="E47" s="46" t="s">
        <v>321</v>
      </c>
      <c r="F47" s="218" t="s">
        <v>92</v>
      </c>
      <c r="G47" s="2" t="s">
        <v>667</v>
      </c>
      <c r="H47" s="222"/>
      <c r="I47" s="221">
        <v>0.0</v>
      </c>
      <c r="J47" s="221">
        <v>0.0</v>
      </c>
      <c r="K47" s="2" t="s">
        <v>92</v>
      </c>
      <c r="L47" s="2" t="s">
        <v>667</v>
      </c>
      <c r="M47" s="222"/>
      <c r="N47" s="221">
        <v>0.0</v>
      </c>
      <c r="O47" s="221">
        <v>0.0</v>
      </c>
      <c r="P47" s="2" t="s">
        <v>92</v>
      </c>
      <c r="Q47" s="2" t="s">
        <v>667</v>
      </c>
      <c r="R47" s="222"/>
      <c r="S47" s="221">
        <v>0.0</v>
      </c>
      <c r="T47" s="221">
        <v>0.0</v>
      </c>
      <c r="U47" s="2" t="s">
        <v>92</v>
      </c>
      <c r="V47" s="2" t="s">
        <v>667</v>
      </c>
      <c r="W47" s="222"/>
      <c r="X47" s="221">
        <v>0.0</v>
      </c>
      <c r="Y47" s="221">
        <v>0.0</v>
      </c>
      <c r="Z47" s="223">
        <v>0.0</v>
      </c>
      <c r="AA47" s="223">
        <v>0.0</v>
      </c>
      <c r="AB47" s="223">
        <v>0.0</v>
      </c>
      <c r="AC47" s="223">
        <v>0.0</v>
      </c>
      <c r="AD47" s="224">
        <v>0.0</v>
      </c>
      <c r="AE47" s="174">
        <f t="shared" si="1"/>
        <v>0</v>
      </c>
      <c r="AF47" s="225">
        <f t="shared" si="2"/>
        <v>14.5</v>
      </c>
    </row>
    <row r="48">
      <c r="A48" s="216">
        <v>45.0</v>
      </c>
      <c r="B48" s="62" t="s">
        <v>90</v>
      </c>
      <c r="C48" s="59"/>
      <c r="D48" s="46" t="s">
        <v>337</v>
      </c>
      <c r="E48" s="46" t="s">
        <v>488</v>
      </c>
      <c r="F48" s="218" t="s">
        <v>92</v>
      </c>
      <c r="G48" s="2" t="s">
        <v>667</v>
      </c>
      <c r="H48" s="222"/>
      <c r="I48" s="221">
        <v>0.0</v>
      </c>
      <c r="J48" s="221">
        <v>0.0</v>
      </c>
      <c r="K48" s="2" t="s">
        <v>92</v>
      </c>
      <c r="L48" s="2" t="s">
        <v>667</v>
      </c>
      <c r="M48" s="222"/>
      <c r="N48" s="221">
        <v>0.0</v>
      </c>
      <c r="O48" s="221">
        <v>0.0</v>
      </c>
      <c r="P48" s="2" t="s">
        <v>92</v>
      </c>
      <c r="Q48" s="2" t="s">
        <v>667</v>
      </c>
      <c r="R48" s="222"/>
      <c r="S48" s="221">
        <v>0.0</v>
      </c>
      <c r="T48" s="221">
        <v>0.0</v>
      </c>
      <c r="U48" s="2" t="s">
        <v>92</v>
      </c>
      <c r="V48" s="2" t="s">
        <v>667</v>
      </c>
      <c r="W48" s="222"/>
      <c r="X48" s="221">
        <v>0.0</v>
      </c>
      <c r="Y48" s="221">
        <v>0.0</v>
      </c>
      <c r="Z48" s="223">
        <v>0.0</v>
      </c>
      <c r="AA48" s="223">
        <v>0.0</v>
      </c>
      <c r="AB48" s="223">
        <v>0.0</v>
      </c>
      <c r="AC48" s="223">
        <v>0.0</v>
      </c>
      <c r="AD48" s="224">
        <v>0.0</v>
      </c>
      <c r="AE48" s="174">
        <f t="shared" si="1"/>
        <v>0</v>
      </c>
      <c r="AF48" s="225">
        <f t="shared" si="2"/>
        <v>14.5</v>
      </c>
    </row>
    <row r="49">
      <c r="A49" s="39">
        <v>46.0</v>
      </c>
      <c r="B49" s="62" t="s">
        <v>90</v>
      </c>
      <c r="C49" s="55" t="s">
        <v>99</v>
      </c>
      <c r="D49" s="46" t="s">
        <v>343</v>
      </c>
      <c r="E49" s="46" t="s">
        <v>166</v>
      </c>
      <c r="F49" s="218" t="s">
        <v>92</v>
      </c>
      <c r="G49" s="2" t="s">
        <v>667</v>
      </c>
      <c r="H49" s="222"/>
      <c r="I49" s="221">
        <v>0.0</v>
      </c>
      <c r="J49" s="221">
        <v>0.0</v>
      </c>
      <c r="K49" s="2" t="s">
        <v>92</v>
      </c>
      <c r="L49" s="2" t="s">
        <v>667</v>
      </c>
      <c r="M49" s="222"/>
      <c r="N49" s="221">
        <v>0.0</v>
      </c>
      <c r="O49" s="221">
        <v>0.0</v>
      </c>
      <c r="P49" s="2" t="s">
        <v>92</v>
      </c>
      <c r="Q49" s="2" t="s">
        <v>667</v>
      </c>
      <c r="R49" s="222"/>
      <c r="S49" s="221">
        <v>0.0</v>
      </c>
      <c r="T49" s="221">
        <v>0.0</v>
      </c>
      <c r="U49" s="2" t="s">
        <v>92</v>
      </c>
      <c r="V49" s="2" t="s">
        <v>667</v>
      </c>
      <c r="W49" s="222"/>
      <c r="X49" s="221">
        <v>0.0</v>
      </c>
      <c r="Y49" s="221">
        <v>0.0</v>
      </c>
      <c r="Z49" s="223">
        <v>0.0</v>
      </c>
      <c r="AA49" s="223">
        <v>0.0</v>
      </c>
      <c r="AB49" s="223">
        <v>0.0</v>
      </c>
      <c r="AC49" s="223">
        <v>0.0</v>
      </c>
      <c r="AD49" s="224">
        <v>0.0</v>
      </c>
      <c r="AE49" s="174">
        <f t="shared" si="1"/>
        <v>0</v>
      </c>
      <c r="AF49" s="225">
        <f t="shared" si="2"/>
        <v>14.5</v>
      </c>
    </row>
    <row r="50">
      <c r="A50" s="216">
        <v>47.0</v>
      </c>
      <c r="B50" s="62" t="s">
        <v>90</v>
      </c>
      <c r="C50" s="59"/>
      <c r="D50" s="46" t="s">
        <v>352</v>
      </c>
      <c r="E50" s="46" t="s">
        <v>353</v>
      </c>
      <c r="F50" s="218" t="s">
        <v>92</v>
      </c>
      <c r="G50" s="2" t="s">
        <v>667</v>
      </c>
      <c r="H50" s="222"/>
      <c r="I50" s="221">
        <v>0.0</v>
      </c>
      <c r="J50" s="221">
        <v>0.0</v>
      </c>
      <c r="K50" s="2" t="s">
        <v>92</v>
      </c>
      <c r="L50" s="2" t="s">
        <v>667</v>
      </c>
      <c r="M50" s="222"/>
      <c r="N50" s="221">
        <v>0.0</v>
      </c>
      <c r="O50" s="221">
        <v>0.0</v>
      </c>
      <c r="P50" s="2" t="s">
        <v>92</v>
      </c>
      <c r="Q50" s="2" t="s">
        <v>667</v>
      </c>
      <c r="R50" s="222"/>
      <c r="S50" s="221">
        <v>0.0</v>
      </c>
      <c r="T50" s="221">
        <v>0.0</v>
      </c>
      <c r="U50" s="2" t="s">
        <v>92</v>
      </c>
      <c r="V50" s="2" t="s">
        <v>667</v>
      </c>
      <c r="W50" s="222"/>
      <c r="X50" s="221">
        <v>0.0</v>
      </c>
      <c r="Y50" s="221">
        <v>0.0</v>
      </c>
      <c r="Z50" s="223">
        <v>0.0</v>
      </c>
      <c r="AA50" s="223">
        <v>0.0</v>
      </c>
      <c r="AB50" s="223">
        <v>0.0</v>
      </c>
      <c r="AC50" s="223">
        <v>0.0</v>
      </c>
      <c r="AD50" s="224">
        <v>0.0</v>
      </c>
      <c r="AE50" s="174">
        <f t="shared" si="1"/>
        <v>0</v>
      </c>
      <c r="AF50" s="225">
        <f t="shared" si="2"/>
        <v>14.5</v>
      </c>
    </row>
    <row r="51">
      <c r="A51" s="39">
        <v>48.0</v>
      </c>
      <c r="B51" s="62" t="s">
        <v>90</v>
      </c>
      <c r="C51" s="59"/>
      <c r="D51" s="36" t="s">
        <v>363</v>
      </c>
      <c r="E51" s="36" t="s">
        <v>364</v>
      </c>
      <c r="F51" s="218" t="s">
        <v>92</v>
      </c>
      <c r="G51" s="2" t="s">
        <v>667</v>
      </c>
      <c r="H51" s="222"/>
      <c r="I51" s="221">
        <v>0.0</v>
      </c>
      <c r="J51" s="221">
        <v>0.0</v>
      </c>
      <c r="K51" s="2" t="s">
        <v>92</v>
      </c>
      <c r="L51" s="2" t="s">
        <v>667</v>
      </c>
      <c r="M51" s="222"/>
      <c r="N51" s="221">
        <v>0.0</v>
      </c>
      <c r="O51" s="221">
        <v>0.0</v>
      </c>
      <c r="P51" s="2" t="s">
        <v>92</v>
      </c>
      <c r="Q51" s="2" t="s">
        <v>667</v>
      </c>
      <c r="R51" s="222"/>
      <c r="S51" s="221">
        <v>0.0</v>
      </c>
      <c r="T51" s="221">
        <v>0.0</v>
      </c>
      <c r="U51" s="2" t="s">
        <v>92</v>
      </c>
      <c r="V51" s="2" t="s">
        <v>667</v>
      </c>
      <c r="W51" s="222"/>
      <c r="X51" s="221">
        <v>0.0</v>
      </c>
      <c r="Y51" s="221">
        <v>0.0</v>
      </c>
      <c r="Z51" s="223">
        <v>0.0</v>
      </c>
      <c r="AA51" s="223">
        <v>0.0</v>
      </c>
      <c r="AB51" s="223">
        <v>0.0</v>
      </c>
      <c r="AC51" s="223">
        <v>0.0</v>
      </c>
      <c r="AD51" s="224">
        <v>0.0</v>
      </c>
      <c r="AE51" s="174">
        <f t="shared" si="1"/>
        <v>0</v>
      </c>
      <c r="AF51" s="225">
        <f t="shared" si="2"/>
        <v>14.5</v>
      </c>
    </row>
    <row r="52">
      <c r="A52" s="216">
        <v>49.0</v>
      </c>
      <c r="B52" s="62" t="s">
        <v>90</v>
      </c>
      <c r="C52" s="59"/>
      <c r="D52" s="46" t="s">
        <v>372</v>
      </c>
      <c r="E52" s="46" t="s">
        <v>373</v>
      </c>
      <c r="F52" s="218" t="s">
        <v>92</v>
      </c>
      <c r="G52" s="2" t="s">
        <v>667</v>
      </c>
      <c r="H52" s="222"/>
      <c r="I52" s="221">
        <v>0.0</v>
      </c>
      <c r="J52" s="221">
        <v>0.0</v>
      </c>
      <c r="K52" s="2" t="s">
        <v>92</v>
      </c>
      <c r="L52" s="2" t="s">
        <v>667</v>
      </c>
      <c r="M52" s="222"/>
      <c r="N52" s="221">
        <v>0.0</v>
      </c>
      <c r="O52" s="221">
        <v>0.0</v>
      </c>
      <c r="P52" s="2" t="s">
        <v>92</v>
      </c>
      <c r="Q52" s="2" t="s">
        <v>667</v>
      </c>
      <c r="R52" s="222"/>
      <c r="S52" s="221">
        <v>0.0</v>
      </c>
      <c r="T52" s="221">
        <v>0.0</v>
      </c>
      <c r="U52" s="2" t="s">
        <v>92</v>
      </c>
      <c r="V52" s="2" t="s">
        <v>667</v>
      </c>
      <c r="W52" s="222"/>
      <c r="X52" s="221">
        <v>0.0</v>
      </c>
      <c r="Y52" s="221">
        <v>0.0</v>
      </c>
      <c r="Z52" s="223">
        <v>0.0</v>
      </c>
      <c r="AA52" s="223">
        <v>0.0</v>
      </c>
      <c r="AB52" s="223">
        <v>0.0</v>
      </c>
      <c r="AC52" s="223">
        <v>0.0</v>
      </c>
      <c r="AD52" s="224">
        <v>0.0</v>
      </c>
      <c r="AE52" s="174">
        <f t="shared" si="1"/>
        <v>0</v>
      </c>
      <c r="AF52" s="225">
        <f t="shared" si="2"/>
        <v>14.5</v>
      </c>
    </row>
    <row r="53">
      <c r="A53" s="39">
        <v>50.0</v>
      </c>
      <c r="B53" s="62" t="s">
        <v>90</v>
      </c>
      <c r="C53" s="59"/>
      <c r="D53" s="46" t="s">
        <v>378</v>
      </c>
      <c r="E53" s="46" t="s">
        <v>380</v>
      </c>
      <c r="F53" s="218" t="s">
        <v>92</v>
      </c>
      <c r="G53" s="2" t="s">
        <v>667</v>
      </c>
      <c r="H53" s="222"/>
      <c r="I53" s="221">
        <v>0.0</v>
      </c>
      <c r="J53" s="221">
        <v>0.0</v>
      </c>
      <c r="K53" s="2" t="s">
        <v>92</v>
      </c>
      <c r="L53" s="2" t="s">
        <v>667</v>
      </c>
      <c r="M53" s="222"/>
      <c r="N53" s="221">
        <v>0.0</v>
      </c>
      <c r="O53" s="221">
        <v>0.0</v>
      </c>
      <c r="P53" s="2" t="s">
        <v>92</v>
      </c>
      <c r="Q53" s="2" t="s">
        <v>667</v>
      </c>
      <c r="R53" s="222"/>
      <c r="S53" s="221">
        <v>0.0</v>
      </c>
      <c r="T53" s="221">
        <v>0.0</v>
      </c>
      <c r="U53" s="2" t="s">
        <v>92</v>
      </c>
      <c r="V53" s="2" t="s">
        <v>667</v>
      </c>
      <c r="W53" s="222"/>
      <c r="X53" s="221">
        <v>0.0</v>
      </c>
      <c r="Y53" s="221">
        <v>0.0</v>
      </c>
      <c r="Z53" s="223">
        <v>0.0</v>
      </c>
      <c r="AA53" s="223">
        <v>0.0</v>
      </c>
      <c r="AB53" s="223">
        <v>0.0</v>
      </c>
      <c r="AC53" s="223">
        <v>0.0</v>
      </c>
      <c r="AD53" s="224">
        <v>0.0</v>
      </c>
      <c r="AE53" s="174">
        <f t="shared" si="1"/>
        <v>0</v>
      </c>
      <c r="AF53" s="225">
        <f t="shared" si="2"/>
        <v>14.5</v>
      </c>
    </row>
    <row r="54">
      <c r="A54" s="216">
        <v>51.0</v>
      </c>
      <c r="B54" s="62" t="s">
        <v>90</v>
      </c>
      <c r="C54" s="59"/>
      <c r="D54" s="46" t="s">
        <v>382</v>
      </c>
      <c r="E54" s="46" t="s">
        <v>527</v>
      </c>
      <c r="F54" s="218" t="s">
        <v>92</v>
      </c>
      <c r="G54" s="2" t="s">
        <v>667</v>
      </c>
      <c r="H54" s="222"/>
      <c r="I54" s="221">
        <v>0.0</v>
      </c>
      <c r="J54" s="221">
        <v>0.0</v>
      </c>
      <c r="K54" s="2" t="s">
        <v>92</v>
      </c>
      <c r="L54" s="2" t="s">
        <v>667</v>
      </c>
      <c r="M54" s="222"/>
      <c r="N54" s="221">
        <v>0.0</v>
      </c>
      <c r="O54" s="221">
        <v>0.0</v>
      </c>
      <c r="P54" s="2" t="s">
        <v>92</v>
      </c>
      <c r="Q54" s="2" t="s">
        <v>667</v>
      </c>
      <c r="R54" s="222"/>
      <c r="S54" s="221">
        <v>0.0</v>
      </c>
      <c r="T54" s="221">
        <v>0.0</v>
      </c>
      <c r="U54" s="2" t="s">
        <v>92</v>
      </c>
      <c r="V54" s="2" t="s">
        <v>667</v>
      </c>
      <c r="W54" s="222"/>
      <c r="X54" s="221">
        <v>0.0</v>
      </c>
      <c r="Y54" s="221">
        <v>0.0</v>
      </c>
      <c r="Z54" s="223">
        <v>0.0</v>
      </c>
      <c r="AA54" s="223">
        <v>0.0</v>
      </c>
      <c r="AB54" s="223">
        <v>0.0</v>
      </c>
      <c r="AC54" s="223">
        <v>0.0</v>
      </c>
      <c r="AD54" s="224">
        <v>0.0</v>
      </c>
      <c r="AE54" s="174">
        <f t="shared" si="1"/>
        <v>0</v>
      </c>
      <c r="AF54" s="225">
        <f t="shared" si="2"/>
        <v>14.5</v>
      </c>
    </row>
    <row r="55">
      <c r="A55" s="39">
        <v>52.0</v>
      </c>
      <c r="B55" s="62" t="s">
        <v>90</v>
      </c>
      <c r="C55" s="59"/>
      <c r="D55" s="29" t="s">
        <v>386</v>
      </c>
      <c r="E55" s="29" t="s">
        <v>387</v>
      </c>
      <c r="F55" s="218" t="s">
        <v>92</v>
      </c>
      <c r="G55" s="2" t="s">
        <v>667</v>
      </c>
      <c r="H55" s="222"/>
      <c r="I55" s="221">
        <v>0.0</v>
      </c>
      <c r="J55" s="221">
        <v>0.0</v>
      </c>
      <c r="K55" s="2" t="s">
        <v>92</v>
      </c>
      <c r="L55" s="2" t="s">
        <v>667</v>
      </c>
      <c r="M55" s="222"/>
      <c r="N55" s="221">
        <v>0.0</v>
      </c>
      <c r="O55" s="221">
        <v>0.0</v>
      </c>
      <c r="P55" s="2" t="s">
        <v>92</v>
      </c>
      <c r="Q55" s="2" t="s">
        <v>667</v>
      </c>
      <c r="R55" s="222"/>
      <c r="S55" s="221">
        <v>0.0</v>
      </c>
      <c r="T55" s="221">
        <v>0.0</v>
      </c>
      <c r="U55" s="2" t="s">
        <v>92</v>
      </c>
      <c r="V55" s="2" t="s">
        <v>667</v>
      </c>
      <c r="W55" s="222"/>
      <c r="X55" s="221">
        <v>0.0</v>
      </c>
      <c r="Y55" s="221">
        <v>0.0</v>
      </c>
      <c r="Z55" s="223">
        <v>0.0</v>
      </c>
      <c r="AA55" s="223">
        <v>0.0</v>
      </c>
      <c r="AB55" s="223">
        <v>0.0</v>
      </c>
      <c r="AC55" s="223">
        <v>0.0</v>
      </c>
      <c r="AD55" s="224">
        <v>0.0</v>
      </c>
      <c r="AE55" s="174">
        <f t="shared" si="1"/>
        <v>0</v>
      </c>
      <c r="AF55" s="225">
        <f t="shared" si="2"/>
        <v>14.5</v>
      </c>
    </row>
    <row r="56">
      <c r="A56" s="216">
        <v>53.0</v>
      </c>
      <c r="B56" s="121" t="s">
        <v>90</v>
      </c>
      <c r="C56" s="57"/>
      <c r="D56" s="46" t="s">
        <v>390</v>
      </c>
      <c r="E56" s="46" t="s">
        <v>391</v>
      </c>
      <c r="F56" s="218" t="s">
        <v>92</v>
      </c>
      <c r="G56" s="2" t="s">
        <v>667</v>
      </c>
      <c r="H56" s="222"/>
      <c r="I56" s="221">
        <v>0.0</v>
      </c>
      <c r="J56" s="221">
        <v>0.0</v>
      </c>
      <c r="K56" s="2" t="s">
        <v>92</v>
      </c>
      <c r="L56" s="2" t="s">
        <v>667</v>
      </c>
      <c r="M56" s="222"/>
      <c r="N56" s="221">
        <v>0.0</v>
      </c>
      <c r="O56" s="221">
        <v>0.0</v>
      </c>
      <c r="P56" s="2" t="s">
        <v>92</v>
      </c>
      <c r="Q56" s="2" t="s">
        <v>667</v>
      </c>
      <c r="R56" s="222"/>
      <c r="S56" s="221">
        <v>0.0</v>
      </c>
      <c r="T56" s="221">
        <v>0.0</v>
      </c>
      <c r="U56" s="2" t="s">
        <v>92</v>
      </c>
      <c r="V56" s="2" t="s">
        <v>667</v>
      </c>
      <c r="W56" s="222"/>
      <c r="X56" s="221">
        <v>0.0</v>
      </c>
      <c r="Y56" s="221">
        <v>0.0</v>
      </c>
      <c r="Z56" s="223">
        <v>0.0</v>
      </c>
      <c r="AA56" s="223">
        <v>0.0</v>
      </c>
      <c r="AB56" s="223">
        <v>0.0</v>
      </c>
      <c r="AC56" s="223">
        <v>0.0</v>
      </c>
      <c r="AD56" s="224">
        <v>0.0</v>
      </c>
      <c r="AE56" s="174">
        <f t="shared" si="1"/>
        <v>0</v>
      </c>
      <c r="AF56" s="225">
        <f t="shared" si="2"/>
        <v>14.5</v>
      </c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16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</sheetData>
  <mergeCells count="7">
    <mergeCell ref="F1:Z1"/>
    <mergeCell ref="I2:J2"/>
    <mergeCell ref="N2:O2"/>
    <mergeCell ref="S2:T2"/>
    <mergeCell ref="X2:Y2"/>
    <mergeCell ref="Z2:AA2"/>
    <mergeCell ref="AB2:AC2"/>
  </mergeCells>
  <dataValidations>
    <dataValidation type="list" allowBlank="1" showErrorMessage="1" sqref="G4:G56 L4:L56 Q4:Q56 V4:V56">
      <formula1>"Online/permission granted,In class,Group Assignment,Absent,Online/Sick,Online/ NO permission ,Public Holiday,In class/Lesson not attended in full,Reported absent"</formula1>
    </dataValidation>
    <dataValidation type="list" allowBlank="1" showErrorMessage="1" sqref="F4:F56 K4:K56 P4:P56 U4:U56">
      <formula1>"Yes,No "</formula1>
    </dataValidation>
    <dataValidation type="list" allowBlank="1" showErrorMessage="1" sqref="AD4:AD56">
      <formula1>"0,1,2,3,4"</formula1>
    </dataValidation>
    <dataValidation type="list" allowBlank="1" showErrorMessage="1" sqref="I4:J56 N4:O56 S4:T56 X4:AC56">
      <formula1>"0,2,1.5,1,0.5"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5.63"/>
    <col customWidth="1" min="2" max="2" width="9.25"/>
    <col customWidth="1" min="3" max="3" width="8.63"/>
    <col customWidth="1" min="5" max="5" width="16.5"/>
    <col customWidth="1" min="7" max="7" width="12.75"/>
    <col customWidth="1" min="8" max="8" width="22.38"/>
    <col customWidth="1" min="13" max="13" width="24.88"/>
    <col customWidth="1" min="18" max="18" width="28.25"/>
    <col customWidth="1" min="23" max="23" width="24.75"/>
  </cols>
  <sheetData>
    <row r="1" ht="21.75" customHeight="1">
      <c r="A1" s="2"/>
      <c r="B1" s="2"/>
      <c r="C1" s="2"/>
      <c r="D1" s="2"/>
      <c r="E1" s="2"/>
      <c r="F1" s="187" t="s">
        <v>640</v>
      </c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188" t="s">
        <v>641</v>
      </c>
      <c r="G2" s="188" t="s">
        <v>740</v>
      </c>
      <c r="H2" s="189"/>
      <c r="I2" s="190" t="s">
        <v>643</v>
      </c>
      <c r="J2" s="191"/>
      <c r="K2" s="192" t="s">
        <v>641</v>
      </c>
      <c r="L2" s="192" t="s">
        <v>741</v>
      </c>
      <c r="M2" s="193"/>
      <c r="N2" s="194" t="s">
        <v>643</v>
      </c>
      <c r="O2" s="191"/>
      <c r="P2" s="195" t="s">
        <v>641</v>
      </c>
      <c r="Q2" s="195" t="s">
        <v>742</v>
      </c>
      <c r="R2" s="196"/>
      <c r="S2" s="197" t="s">
        <v>643</v>
      </c>
      <c r="T2" s="191"/>
      <c r="U2" s="198" t="s">
        <v>641</v>
      </c>
      <c r="V2" s="198" t="s">
        <v>743</v>
      </c>
      <c r="W2" s="199"/>
      <c r="X2" s="200" t="s">
        <v>643</v>
      </c>
      <c r="Y2" s="191"/>
      <c r="Z2" s="201" t="s">
        <v>647</v>
      </c>
      <c r="AA2" s="185"/>
      <c r="AB2" s="201" t="s">
        <v>648</v>
      </c>
      <c r="AC2" s="185"/>
      <c r="AD2" s="31"/>
      <c r="AE2" s="31"/>
      <c r="AF2" s="31"/>
    </row>
    <row r="3">
      <c r="A3" s="202" t="s">
        <v>649</v>
      </c>
      <c r="B3" s="203" t="s">
        <v>650</v>
      </c>
      <c r="C3" s="202" t="s">
        <v>651</v>
      </c>
      <c r="D3" s="202" t="s">
        <v>652</v>
      </c>
      <c r="E3" s="202" t="s">
        <v>7</v>
      </c>
      <c r="F3" s="204" t="s">
        <v>653</v>
      </c>
      <c r="G3" s="205" t="s">
        <v>654</v>
      </c>
      <c r="H3" s="205" t="s">
        <v>655</v>
      </c>
      <c r="I3" s="206" t="s">
        <v>656</v>
      </c>
      <c r="J3" s="206" t="s">
        <v>657</v>
      </c>
      <c r="K3" s="207" t="s">
        <v>658</v>
      </c>
      <c r="L3" s="208" t="s">
        <v>654</v>
      </c>
      <c r="M3" s="208" t="s">
        <v>655</v>
      </c>
      <c r="N3" s="208" t="s">
        <v>656</v>
      </c>
      <c r="O3" s="207" t="s">
        <v>657</v>
      </c>
      <c r="P3" s="209" t="s">
        <v>659</v>
      </c>
      <c r="Q3" s="209" t="s">
        <v>654</v>
      </c>
      <c r="R3" s="210" t="s">
        <v>655</v>
      </c>
      <c r="S3" s="210" t="s">
        <v>656</v>
      </c>
      <c r="T3" s="210" t="s">
        <v>657</v>
      </c>
      <c r="U3" s="211" t="s">
        <v>660</v>
      </c>
      <c r="V3" s="211" t="s">
        <v>654</v>
      </c>
      <c r="W3" s="212" t="s">
        <v>655</v>
      </c>
      <c r="X3" s="211" t="s">
        <v>656</v>
      </c>
      <c r="Y3" s="212" t="s">
        <v>657</v>
      </c>
      <c r="Z3" s="213" t="s">
        <v>661</v>
      </c>
      <c r="AA3" s="213" t="s">
        <v>662</v>
      </c>
      <c r="AB3" s="213" t="s">
        <v>663</v>
      </c>
      <c r="AC3" s="213" t="s">
        <v>662</v>
      </c>
      <c r="AD3" s="214" t="s">
        <v>664</v>
      </c>
      <c r="AE3" s="215" t="s">
        <v>665</v>
      </c>
      <c r="AF3" s="215" t="s">
        <v>666</v>
      </c>
    </row>
    <row r="4">
      <c r="A4" s="216">
        <v>1.0</v>
      </c>
      <c r="B4" s="217" t="s">
        <v>62</v>
      </c>
      <c r="C4" s="28"/>
      <c r="D4" s="17" t="s">
        <v>20</v>
      </c>
      <c r="E4" s="17" t="s">
        <v>37</v>
      </c>
      <c r="F4" s="218" t="s">
        <v>92</v>
      </c>
      <c r="G4" s="219" t="s">
        <v>667</v>
      </c>
      <c r="H4" s="222"/>
      <c r="I4" s="221">
        <v>0.0</v>
      </c>
      <c r="J4" s="221">
        <v>0.0</v>
      </c>
      <c r="K4" s="218" t="s">
        <v>92</v>
      </c>
      <c r="L4" s="219" t="s">
        <v>667</v>
      </c>
      <c r="M4" s="222"/>
      <c r="N4" s="221">
        <v>0.0</v>
      </c>
      <c r="O4" s="221">
        <v>0.0</v>
      </c>
      <c r="P4" s="218" t="s">
        <v>92</v>
      </c>
      <c r="Q4" s="219" t="s">
        <v>667</v>
      </c>
      <c r="R4" s="222"/>
      <c r="S4" s="221">
        <v>0.0</v>
      </c>
      <c r="T4" s="221">
        <v>0.0</v>
      </c>
      <c r="U4" s="218" t="s">
        <v>92</v>
      </c>
      <c r="V4" s="219" t="s">
        <v>667</v>
      </c>
      <c r="W4" s="222"/>
      <c r="X4" s="221">
        <v>0.0</v>
      </c>
      <c r="Y4" s="221">
        <v>0.0</v>
      </c>
      <c r="Z4" s="223">
        <v>0.0</v>
      </c>
      <c r="AA4" s="223">
        <v>0.0</v>
      </c>
      <c r="AB4" s="223">
        <v>0.0</v>
      </c>
      <c r="AC4" s="223">
        <v>0.0</v>
      </c>
      <c r="AD4" s="224">
        <v>0.0</v>
      </c>
      <c r="AE4" s="174">
        <f t="shared" ref="AE4:AE56" si="1">I4+J4+N4+O4+S4+T4+X4+Y4+Z4+AA4+AB4+AC4</f>
        <v>0</v>
      </c>
      <c r="AF4" s="225">
        <f t="shared" ref="AF4:AF56" si="2">14.5-AE4</f>
        <v>14.5</v>
      </c>
    </row>
    <row r="5">
      <c r="A5" s="39">
        <v>2.0</v>
      </c>
      <c r="B5" s="41" t="s">
        <v>90</v>
      </c>
      <c r="C5" s="226"/>
      <c r="D5" s="29" t="s">
        <v>29</v>
      </c>
      <c r="E5" s="29" t="s">
        <v>68</v>
      </c>
      <c r="F5" s="218" t="s">
        <v>92</v>
      </c>
      <c r="G5" s="219" t="s">
        <v>667</v>
      </c>
      <c r="H5" s="222"/>
      <c r="I5" s="221">
        <v>0.0</v>
      </c>
      <c r="J5" s="221">
        <v>0.0</v>
      </c>
      <c r="K5" s="51" t="s">
        <v>92</v>
      </c>
      <c r="L5" s="51" t="s">
        <v>667</v>
      </c>
      <c r="M5" s="222"/>
      <c r="N5" s="221">
        <v>0.0</v>
      </c>
      <c r="O5" s="221">
        <v>0.0</v>
      </c>
      <c r="P5" s="51" t="s">
        <v>92</v>
      </c>
      <c r="Q5" s="51" t="s">
        <v>667</v>
      </c>
      <c r="R5" s="222"/>
      <c r="S5" s="221">
        <v>0.0</v>
      </c>
      <c r="T5" s="221">
        <v>0.0</v>
      </c>
      <c r="U5" s="51" t="s">
        <v>92</v>
      </c>
      <c r="V5" s="51" t="s">
        <v>667</v>
      </c>
      <c r="W5" s="222"/>
      <c r="X5" s="221">
        <v>0.0</v>
      </c>
      <c r="Y5" s="221">
        <v>0.0</v>
      </c>
      <c r="Z5" s="223">
        <v>0.0</v>
      </c>
      <c r="AA5" s="223">
        <v>0.0</v>
      </c>
      <c r="AB5" s="223">
        <v>0.0</v>
      </c>
      <c r="AC5" s="223">
        <v>0.0</v>
      </c>
      <c r="AD5" s="224">
        <v>0.0</v>
      </c>
      <c r="AE5" s="174">
        <f t="shared" si="1"/>
        <v>0</v>
      </c>
      <c r="AF5" s="225">
        <f t="shared" si="2"/>
        <v>14.5</v>
      </c>
    </row>
    <row r="6">
      <c r="A6" s="216">
        <v>3.0</v>
      </c>
      <c r="B6" s="41" t="s">
        <v>90</v>
      </c>
      <c r="C6" s="55" t="s">
        <v>99</v>
      </c>
      <c r="D6" s="43" t="s">
        <v>95</v>
      </c>
      <c r="E6" s="43" t="s">
        <v>35</v>
      </c>
      <c r="F6" s="2" t="s">
        <v>92</v>
      </c>
      <c r="G6" s="2" t="s">
        <v>667</v>
      </c>
      <c r="H6" s="222"/>
      <c r="I6" s="221">
        <v>0.0</v>
      </c>
      <c r="J6" s="221">
        <v>0.0</v>
      </c>
      <c r="K6" s="2" t="s">
        <v>92</v>
      </c>
      <c r="L6" s="2" t="s">
        <v>667</v>
      </c>
      <c r="M6" s="222"/>
      <c r="N6" s="221">
        <v>0.0</v>
      </c>
      <c r="O6" s="221">
        <v>0.0</v>
      </c>
      <c r="P6" s="2" t="s">
        <v>92</v>
      </c>
      <c r="Q6" s="2" t="s">
        <v>667</v>
      </c>
      <c r="R6" s="222"/>
      <c r="S6" s="221">
        <v>0.0</v>
      </c>
      <c r="T6" s="221">
        <v>0.0</v>
      </c>
      <c r="U6" s="2" t="s">
        <v>92</v>
      </c>
      <c r="V6" s="2" t="s">
        <v>667</v>
      </c>
      <c r="W6" s="222"/>
      <c r="X6" s="221">
        <v>0.0</v>
      </c>
      <c r="Y6" s="221">
        <v>0.0</v>
      </c>
      <c r="Z6" s="223">
        <v>0.0</v>
      </c>
      <c r="AA6" s="223">
        <v>0.0</v>
      </c>
      <c r="AB6" s="223">
        <v>0.0</v>
      </c>
      <c r="AC6" s="223">
        <v>0.0</v>
      </c>
      <c r="AD6" s="224">
        <v>0.0</v>
      </c>
      <c r="AE6" s="174">
        <f t="shared" si="1"/>
        <v>0</v>
      </c>
      <c r="AF6" s="225">
        <f t="shared" si="2"/>
        <v>14.5</v>
      </c>
    </row>
    <row r="7">
      <c r="A7" s="39">
        <v>4.0</v>
      </c>
      <c r="B7" s="62" t="s">
        <v>90</v>
      </c>
      <c r="C7" s="59"/>
      <c r="D7" s="54" t="s">
        <v>41</v>
      </c>
      <c r="E7" s="54" t="s">
        <v>42</v>
      </c>
      <c r="F7" s="2" t="s">
        <v>92</v>
      </c>
      <c r="G7" s="2" t="s">
        <v>667</v>
      </c>
      <c r="H7" s="222"/>
      <c r="I7" s="221">
        <v>0.0</v>
      </c>
      <c r="J7" s="221">
        <v>0.0</v>
      </c>
      <c r="K7" s="2" t="s">
        <v>92</v>
      </c>
      <c r="L7" s="2" t="s">
        <v>667</v>
      </c>
      <c r="M7" s="222"/>
      <c r="N7" s="221">
        <v>0.0</v>
      </c>
      <c r="O7" s="221">
        <v>0.0</v>
      </c>
      <c r="P7" s="2" t="s">
        <v>92</v>
      </c>
      <c r="Q7" s="2" t="s">
        <v>667</v>
      </c>
      <c r="R7" s="222"/>
      <c r="S7" s="221">
        <v>0.0</v>
      </c>
      <c r="T7" s="221">
        <v>0.0</v>
      </c>
      <c r="U7" s="2" t="s">
        <v>92</v>
      </c>
      <c r="V7" s="2" t="s">
        <v>667</v>
      </c>
      <c r="W7" s="222"/>
      <c r="X7" s="221">
        <v>0.0</v>
      </c>
      <c r="Y7" s="221">
        <v>0.0</v>
      </c>
      <c r="Z7" s="223">
        <v>0.0</v>
      </c>
      <c r="AA7" s="223">
        <v>0.0</v>
      </c>
      <c r="AB7" s="223">
        <v>0.0</v>
      </c>
      <c r="AC7" s="223">
        <v>0.0</v>
      </c>
      <c r="AD7" s="224">
        <v>0.0</v>
      </c>
      <c r="AE7" s="174">
        <f t="shared" si="1"/>
        <v>0</v>
      </c>
      <c r="AF7" s="225">
        <f t="shared" si="2"/>
        <v>14.5</v>
      </c>
    </row>
    <row r="8">
      <c r="A8" s="216">
        <v>5.0</v>
      </c>
      <c r="B8" s="62" t="s">
        <v>90</v>
      </c>
      <c r="C8" s="59"/>
      <c r="D8" s="54" t="s">
        <v>48</v>
      </c>
      <c r="E8" s="54" t="s">
        <v>51</v>
      </c>
      <c r="F8" s="2" t="s">
        <v>92</v>
      </c>
      <c r="G8" s="2" t="s">
        <v>667</v>
      </c>
      <c r="H8" s="222"/>
      <c r="I8" s="221">
        <v>0.0</v>
      </c>
      <c r="J8" s="221">
        <v>0.0</v>
      </c>
      <c r="K8" s="2" t="s">
        <v>92</v>
      </c>
      <c r="L8" s="2" t="s">
        <v>667</v>
      </c>
      <c r="M8" s="222"/>
      <c r="N8" s="221">
        <v>0.0</v>
      </c>
      <c r="O8" s="221">
        <v>0.0</v>
      </c>
      <c r="P8" s="2" t="s">
        <v>92</v>
      </c>
      <c r="Q8" s="2" t="s">
        <v>667</v>
      </c>
      <c r="R8" s="222"/>
      <c r="S8" s="221">
        <v>0.0</v>
      </c>
      <c r="T8" s="221">
        <v>0.0</v>
      </c>
      <c r="U8" s="2" t="s">
        <v>92</v>
      </c>
      <c r="V8" s="2" t="s">
        <v>667</v>
      </c>
      <c r="W8" s="222"/>
      <c r="X8" s="221">
        <v>0.0</v>
      </c>
      <c r="Y8" s="221">
        <v>0.0</v>
      </c>
      <c r="Z8" s="223">
        <v>0.0</v>
      </c>
      <c r="AA8" s="223">
        <v>0.0</v>
      </c>
      <c r="AB8" s="223">
        <v>0.0</v>
      </c>
      <c r="AC8" s="223">
        <v>0.0</v>
      </c>
      <c r="AD8" s="224">
        <v>0.0</v>
      </c>
      <c r="AE8" s="174">
        <f t="shared" si="1"/>
        <v>0</v>
      </c>
      <c r="AF8" s="225">
        <f t="shared" si="2"/>
        <v>14.5</v>
      </c>
    </row>
    <row r="9">
      <c r="A9" s="39">
        <v>6.0</v>
      </c>
      <c r="B9" s="62" t="s">
        <v>90</v>
      </c>
      <c r="C9" s="59"/>
      <c r="D9" s="43" t="s">
        <v>58</v>
      </c>
      <c r="E9" s="43" t="s">
        <v>148</v>
      </c>
      <c r="F9" s="2" t="s">
        <v>92</v>
      </c>
      <c r="G9" s="2" t="s">
        <v>667</v>
      </c>
      <c r="H9" s="222"/>
      <c r="I9" s="221">
        <v>0.0</v>
      </c>
      <c r="J9" s="221">
        <v>0.0</v>
      </c>
      <c r="K9" s="2" t="s">
        <v>92</v>
      </c>
      <c r="L9" s="2" t="s">
        <v>667</v>
      </c>
      <c r="M9" s="222"/>
      <c r="N9" s="221">
        <v>0.0</v>
      </c>
      <c r="O9" s="221">
        <v>0.0</v>
      </c>
      <c r="P9" s="2" t="s">
        <v>92</v>
      </c>
      <c r="Q9" s="2" t="s">
        <v>667</v>
      </c>
      <c r="R9" s="222"/>
      <c r="S9" s="221">
        <v>0.0</v>
      </c>
      <c r="T9" s="221">
        <v>0.0</v>
      </c>
      <c r="U9" s="2" t="s">
        <v>92</v>
      </c>
      <c r="V9" s="2" t="s">
        <v>667</v>
      </c>
      <c r="W9" s="222"/>
      <c r="X9" s="221">
        <v>0.0</v>
      </c>
      <c r="Y9" s="221">
        <v>0.0</v>
      </c>
      <c r="Z9" s="223">
        <v>0.0</v>
      </c>
      <c r="AA9" s="223">
        <v>0.0</v>
      </c>
      <c r="AB9" s="223">
        <v>0.0</v>
      </c>
      <c r="AC9" s="223">
        <v>0.0</v>
      </c>
      <c r="AD9" s="224">
        <v>0.0</v>
      </c>
      <c r="AE9" s="174">
        <f t="shared" si="1"/>
        <v>0</v>
      </c>
      <c r="AF9" s="225">
        <f t="shared" si="2"/>
        <v>14.5</v>
      </c>
    </row>
    <row r="10">
      <c r="A10" s="216">
        <v>7.0</v>
      </c>
      <c r="B10" s="105" t="s">
        <v>90</v>
      </c>
      <c r="C10" s="68"/>
      <c r="D10" s="70" t="s">
        <v>63</v>
      </c>
      <c r="E10" s="74" t="s">
        <v>64</v>
      </c>
      <c r="F10" s="84" t="s">
        <v>92</v>
      </c>
      <c r="G10" s="2" t="s">
        <v>667</v>
      </c>
      <c r="H10" s="222"/>
      <c r="I10" s="221">
        <v>0.0</v>
      </c>
      <c r="J10" s="221">
        <v>0.0</v>
      </c>
      <c r="K10" s="2" t="s">
        <v>92</v>
      </c>
      <c r="L10" s="2" t="s">
        <v>667</v>
      </c>
      <c r="M10" s="222"/>
      <c r="N10" s="221">
        <v>0.0</v>
      </c>
      <c r="O10" s="221">
        <v>0.0</v>
      </c>
      <c r="P10" s="2" t="s">
        <v>92</v>
      </c>
      <c r="Q10" s="2" t="s">
        <v>667</v>
      </c>
      <c r="R10" s="222"/>
      <c r="S10" s="221">
        <v>0.0</v>
      </c>
      <c r="T10" s="221">
        <v>0.0</v>
      </c>
      <c r="U10" s="2" t="s">
        <v>92</v>
      </c>
      <c r="V10" s="2" t="s">
        <v>667</v>
      </c>
      <c r="W10" s="222"/>
      <c r="X10" s="221">
        <v>0.0</v>
      </c>
      <c r="Y10" s="221">
        <v>0.0</v>
      </c>
      <c r="Z10" s="223">
        <v>0.0</v>
      </c>
      <c r="AA10" s="223">
        <v>0.0</v>
      </c>
      <c r="AB10" s="223">
        <v>0.0</v>
      </c>
      <c r="AC10" s="223">
        <v>0.0</v>
      </c>
      <c r="AD10" s="224">
        <v>0.0</v>
      </c>
      <c r="AE10" s="174">
        <f t="shared" si="1"/>
        <v>0</v>
      </c>
      <c r="AF10" s="225">
        <f t="shared" si="2"/>
        <v>14.5</v>
      </c>
    </row>
    <row r="11">
      <c r="A11" s="39">
        <v>8.0</v>
      </c>
      <c r="B11" s="62" t="s">
        <v>90</v>
      </c>
      <c r="C11" s="59"/>
      <c r="D11" s="54" t="s">
        <v>66</v>
      </c>
      <c r="E11" s="54" t="s">
        <v>187</v>
      </c>
      <c r="F11" s="2" t="s">
        <v>92</v>
      </c>
      <c r="G11" s="2" t="s">
        <v>667</v>
      </c>
      <c r="H11" s="222"/>
      <c r="I11" s="221">
        <v>0.0</v>
      </c>
      <c r="J11" s="221">
        <v>0.0</v>
      </c>
      <c r="K11" s="2" t="s">
        <v>92</v>
      </c>
      <c r="L11" s="2" t="s">
        <v>667</v>
      </c>
      <c r="M11" s="222"/>
      <c r="N11" s="221">
        <v>0.0</v>
      </c>
      <c r="O11" s="221">
        <v>0.0</v>
      </c>
      <c r="P11" s="2" t="s">
        <v>92</v>
      </c>
      <c r="Q11" s="2" t="s">
        <v>667</v>
      </c>
      <c r="R11" s="222"/>
      <c r="S11" s="221">
        <v>0.0</v>
      </c>
      <c r="T11" s="221">
        <v>0.0</v>
      </c>
      <c r="U11" s="2" t="s">
        <v>92</v>
      </c>
      <c r="V11" s="2" t="s">
        <v>667</v>
      </c>
      <c r="W11" s="222"/>
      <c r="X11" s="221">
        <v>0.0</v>
      </c>
      <c r="Y11" s="221">
        <v>0.0</v>
      </c>
      <c r="Z11" s="223">
        <v>0.0</v>
      </c>
      <c r="AA11" s="223">
        <v>0.0</v>
      </c>
      <c r="AB11" s="223">
        <v>0.0</v>
      </c>
      <c r="AC11" s="223">
        <v>0.0</v>
      </c>
      <c r="AD11" s="224">
        <v>0.0</v>
      </c>
      <c r="AE11" s="174">
        <f t="shared" si="1"/>
        <v>0</v>
      </c>
      <c r="AF11" s="225">
        <f t="shared" si="2"/>
        <v>14.5</v>
      </c>
    </row>
    <row r="12">
      <c r="A12" s="216">
        <v>9.0</v>
      </c>
      <c r="B12" s="62" t="s">
        <v>90</v>
      </c>
      <c r="C12" s="59"/>
      <c r="D12" s="46" t="s">
        <v>71</v>
      </c>
      <c r="E12" s="46" t="s">
        <v>195</v>
      </c>
      <c r="F12" s="2" t="s">
        <v>92</v>
      </c>
      <c r="G12" s="2" t="s">
        <v>667</v>
      </c>
      <c r="H12" s="222"/>
      <c r="I12" s="221">
        <v>0.0</v>
      </c>
      <c r="J12" s="221">
        <v>0.0</v>
      </c>
      <c r="K12" s="2" t="s">
        <v>92</v>
      </c>
      <c r="L12" s="2" t="s">
        <v>667</v>
      </c>
      <c r="M12" s="222"/>
      <c r="N12" s="221">
        <v>0.0</v>
      </c>
      <c r="O12" s="221">
        <v>0.0</v>
      </c>
      <c r="P12" s="2" t="s">
        <v>92</v>
      </c>
      <c r="Q12" s="2" t="s">
        <v>667</v>
      </c>
      <c r="R12" s="222"/>
      <c r="S12" s="221">
        <v>0.0</v>
      </c>
      <c r="T12" s="221">
        <v>0.0</v>
      </c>
      <c r="U12" s="2" t="s">
        <v>92</v>
      </c>
      <c r="V12" s="2" t="s">
        <v>667</v>
      </c>
      <c r="W12" s="222"/>
      <c r="X12" s="221">
        <v>0.0</v>
      </c>
      <c r="Y12" s="221">
        <v>0.0</v>
      </c>
      <c r="Z12" s="223">
        <v>0.0</v>
      </c>
      <c r="AA12" s="223">
        <v>0.0</v>
      </c>
      <c r="AB12" s="223">
        <v>0.0</v>
      </c>
      <c r="AC12" s="223">
        <v>0.0</v>
      </c>
      <c r="AD12" s="224">
        <v>0.0</v>
      </c>
      <c r="AE12" s="174">
        <f t="shared" si="1"/>
        <v>0</v>
      </c>
      <c r="AF12" s="225">
        <f t="shared" si="2"/>
        <v>14.5</v>
      </c>
    </row>
    <row r="13">
      <c r="A13" s="39">
        <v>10.0</v>
      </c>
      <c r="B13" s="62" t="s">
        <v>90</v>
      </c>
      <c r="C13" s="59"/>
      <c r="D13" s="54" t="s">
        <v>85</v>
      </c>
      <c r="E13" s="54" t="s">
        <v>86</v>
      </c>
      <c r="F13" s="2" t="s">
        <v>92</v>
      </c>
      <c r="G13" s="2" t="s">
        <v>667</v>
      </c>
      <c r="H13" s="222"/>
      <c r="I13" s="221">
        <v>0.0</v>
      </c>
      <c r="J13" s="221">
        <v>0.0</v>
      </c>
      <c r="K13" s="2" t="s">
        <v>92</v>
      </c>
      <c r="L13" s="2" t="s">
        <v>667</v>
      </c>
      <c r="M13" s="222"/>
      <c r="N13" s="221">
        <v>0.0</v>
      </c>
      <c r="O13" s="221">
        <v>0.0</v>
      </c>
      <c r="P13" s="2" t="s">
        <v>92</v>
      </c>
      <c r="Q13" s="2" t="s">
        <v>667</v>
      </c>
      <c r="R13" s="222"/>
      <c r="S13" s="221">
        <v>0.0</v>
      </c>
      <c r="T13" s="221">
        <v>0.0</v>
      </c>
      <c r="U13" s="2" t="s">
        <v>92</v>
      </c>
      <c r="V13" s="2" t="s">
        <v>667</v>
      </c>
      <c r="W13" s="222"/>
      <c r="X13" s="221">
        <v>0.0</v>
      </c>
      <c r="Y13" s="221">
        <v>0.0</v>
      </c>
      <c r="Z13" s="223">
        <v>0.0</v>
      </c>
      <c r="AA13" s="223">
        <v>0.0</v>
      </c>
      <c r="AB13" s="223">
        <v>0.0</v>
      </c>
      <c r="AC13" s="223">
        <v>0.0</v>
      </c>
      <c r="AD13" s="224">
        <v>0.0</v>
      </c>
      <c r="AE13" s="174">
        <f t="shared" si="1"/>
        <v>0</v>
      </c>
      <c r="AF13" s="225">
        <f t="shared" si="2"/>
        <v>14.5</v>
      </c>
    </row>
    <row r="14">
      <c r="A14" s="216">
        <v>11.0</v>
      </c>
      <c r="B14" s="62" t="s">
        <v>90</v>
      </c>
      <c r="C14" s="59"/>
      <c r="D14" s="54" t="s">
        <v>88</v>
      </c>
      <c r="E14" s="54" t="s">
        <v>246</v>
      </c>
      <c r="F14" s="2" t="s">
        <v>92</v>
      </c>
      <c r="G14" s="2" t="s">
        <v>667</v>
      </c>
      <c r="H14" s="222"/>
      <c r="I14" s="221">
        <v>0.0</v>
      </c>
      <c r="J14" s="221">
        <v>0.0</v>
      </c>
      <c r="K14" s="2" t="s">
        <v>92</v>
      </c>
      <c r="L14" s="2" t="s">
        <v>667</v>
      </c>
      <c r="M14" s="222"/>
      <c r="N14" s="221">
        <v>0.0</v>
      </c>
      <c r="O14" s="221">
        <v>0.0</v>
      </c>
      <c r="P14" s="2" t="s">
        <v>92</v>
      </c>
      <c r="Q14" s="2" t="s">
        <v>667</v>
      </c>
      <c r="R14" s="222"/>
      <c r="S14" s="221">
        <v>0.0</v>
      </c>
      <c r="T14" s="221">
        <v>0.0</v>
      </c>
      <c r="U14" s="2" t="s">
        <v>92</v>
      </c>
      <c r="V14" s="2" t="s">
        <v>667</v>
      </c>
      <c r="W14" s="222"/>
      <c r="X14" s="221">
        <v>0.0</v>
      </c>
      <c r="Y14" s="221">
        <v>0.0</v>
      </c>
      <c r="Z14" s="223">
        <v>0.0</v>
      </c>
      <c r="AA14" s="223">
        <v>0.0</v>
      </c>
      <c r="AB14" s="223">
        <v>0.0</v>
      </c>
      <c r="AC14" s="223">
        <v>0.0</v>
      </c>
      <c r="AD14" s="224">
        <v>0.0</v>
      </c>
      <c r="AE14" s="174">
        <f t="shared" si="1"/>
        <v>0</v>
      </c>
      <c r="AF14" s="225">
        <f t="shared" si="2"/>
        <v>14.5</v>
      </c>
    </row>
    <row r="15">
      <c r="A15" s="39">
        <v>12.0</v>
      </c>
      <c r="B15" s="62" t="s">
        <v>90</v>
      </c>
      <c r="C15" s="59"/>
      <c r="D15" s="43" t="s">
        <v>94</v>
      </c>
      <c r="E15" s="43" t="s">
        <v>258</v>
      </c>
      <c r="F15" s="2" t="s">
        <v>92</v>
      </c>
      <c r="G15" s="2" t="s">
        <v>667</v>
      </c>
      <c r="H15" s="222"/>
      <c r="I15" s="221">
        <v>0.0</v>
      </c>
      <c r="J15" s="221">
        <v>0.0</v>
      </c>
      <c r="K15" s="2" t="s">
        <v>92</v>
      </c>
      <c r="L15" s="2" t="s">
        <v>667</v>
      </c>
      <c r="M15" s="222"/>
      <c r="N15" s="221">
        <v>0.0</v>
      </c>
      <c r="O15" s="221">
        <v>0.0</v>
      </c>
      <c r="P15" s="2" t="s">
        <v>92</v>
      </c>
      <c r="Q15" s="2" t="s">
        <v>667</v>
      </c>
      <c r="R15" s="222"/>
      <c r="S15" s="221">
        <v>0.0</v>
      </c>
      <c r="T15" s="221">
        <v>0.0</v>
      </c>
      <c r="U15" s="2" t="s">
        <v>92</v>
      </c>
      <c r="V15" s="2" t="s">
        <v>667</v>
      </c>
      <c r="W15" s="222"/>
      <c r="X15" s="221">
        <v>0.0</v>
      </c>
      <c r="Y15" s="221">
        <v>0.0</v>
      </c>
      <c r="Z15" s="223">
        <v>0.0</v>
      </c>
      <c r="AA15" s="223">
        <v>0.0</v>
      </c>
      <c r="AB15" s="223">
        <v>0.0</v>
      </c>
      <c r="AC15" s="223">
        <v>0.0</v>
      </c>
      <c r="AD15" s="224">
        <v>0.0</v>
      </c>
      <c r="AE15" s="174">
        <f t="shared" si="1"/>
        <v>0</v>
      </c>
      <c r="AF15" s="225">
        <f t="shared" si="2"/>
        <v>14.5</v>
      </c>
    </row>
    <row r="16">
      <c r="A16" s="216">
        <v>13.0</v>
      </c>
      <c r="B16" s="121" t="s">
        <v>90</v>
      </c>
      <c r="C16" s="87"/>
      <c r="D16" s="43" t="s">
        <v>107</v>
      </c>
      <c r="E16" s="46" t="s">
        <v>276</v>
      </c>
      <c r="F16" s="2" t="s">
        <v>92</v>
      </c>
      <c r="G16" s="2" t="s">
        <v>667</v>
      </c>
      <c r="H16" s="222"/>
      <c r="I16" s="221">
        <v>0.0</v>
      </c>
      <c r="J16" s="221">
        <v>0.0</v>
      </c>
      <c r="K16" s="2" t="s">
        <v>92</v>
      </c>
      <c r="L16" s="2" t="s">
        <v>667</v>
      </c>
      <c r="M16" s="222"/>
      <c r="N16" s="221">
        <v>0.0</v>
      </c>
      <c r="O16" s="221">
        <v>0.0</v>
      </c>
      <c r="P16" s="2" t="s">
        <v>92</v>
      </c>
      <c r="Q16" s="2" t="s">
        <v>667</v>
      </c>
      <c r="R16" s="222"/>
      <c r="S16" s="221">
        <v>0.0</v>
      </c>
      <c r="T16" s="221">
        <v>0.0</v>
      </c>
      <c r="U16" s="2" t="s">
        <v>92</v>
      </c>
      <c r="V16" s="2" t="s">
        <v>667</v>
      </c>
      <c r="W16" s="222"/>
      <c r="X16" s="221">
        <v>0.0</v>
      </c>
      <c r="Y16" s="221">
        <v>0.0</v>
      </c>
      <c r="Z16" s="223">
        <v>0.0</v>
      </c>
      <c r="AA16" s="223">
        <v>0.0</v>
      </c>
      <c r="AB16" s="223">
        <v>0.0</v>
      </c>
      <c r="AC16" s="223">
        <v>0.0</v>
      </c>
      <c r="AD16" s="224">
        <v>0.0</v>
      </c>
      <c r="AE16" s="174">
        <f t="shared" si="1"/>
        <v>0</v>
      </c>
      <c r="AF16" s="225">
        <f t="shared" si="2"/>
        <v>14.5</v>
      </c>
    </row>
    <row r="17">
      <c r="A17" s="39">
        <v>14.0</v>
      </c>
      <c r="B17" s="62" t="s">
        <v>90</v>
      </c>
      <c r="C17" s="59"/>
      <c r="D17" s="43" t="s">
        <v>112</v>
      </c>
      <c r="E17" s="43" t="s">
        <v>292</v>
      </c>
      <c r="F17" s="2" t="s">
        <v>92</v>
      </c>
      <c r="G17" s="2" t="s">
        <v>667</v>
      </c>
      <c r="H17" s="222"/>
      <c r="I17" s="221">
        <v>0.0</v>
      </c>
      <c r="J17" s="221">
        <v>0.0</v>
      </c>
      <c r="K17" s="2" t="s">
        <v>92</v>
      </c>
      <c r="L17" s="2" t="s">
        <v>667</v>
      </c>
      <c r="M17" s="222"/>
      <c r="N17" s="221">
        <v>0.0</v>
      </c>
      <c r="O17" s="221">
        <v>0.0</v>
      </c>
      <c r="P17" s="2" t="s">
        <v>92</v>
      </c>
      <c r="Q17" s="2" t="s">
        <v>667</v>
      </c>
      <c r="R17" s="222"/>
      <c r="S17" s="221">
        <v>0.0</v>
      </c>
      <c r="T17" s="221">
        <v>0.0</v>
      </c>
      <c r="U17" s="2" t="s">
        <v>92</v>
      </c>
      <c r="V17" s="2" t="s">
        <v>667</v>
      </c>
      <c r="W17" s="222"/>
      <c r="X17" s="221">
        <v>0.0</v>
      </c>
      <c r="Y17" s="221">
        <v>0.0</v>
      </c>
      <c r="Z17" s="223">
        <v>0.0</v>
      </c>
      <c r="AA17" s="223">
        <v>0.0</v>
      </c>
      <c r="AB17" s="223">
        <v>0.0</v>
      </c>
      <c r="AC17" s="223">
        <v>0.0</v>
      </c>
      <c r="AD17" s="224">
        <v>0.0</v>
      </c>
      <c r="AE17" s="174">
        <f t="shared" si="1"/>
        <v>0</v>
      </c>
      <c r="AF17" s="225">
        <f t="shared" si="2"/>
        <v>14.5</v>
      </c>
    </row>
    <row r="18">
      <c r="A18" s="216">
        <v>15.0</v>
      </c>
      <c r="B18" s="62" t="s">
        <v>90</v>
      </c>
      <c r="C18" s="59"/>
      <c r="D18" s="43" t="s">
        <v>119</v>
      </c>
      <c r="E18" s="43" t="s">
        <v>121</v>
      </c>
      <c r="F18" s="2" t="s">
        <v>92</v>
      </c>
      <c r="G18" s="2" t="s">
        <v>667</v>
      </c>
      <c r="H18" s="222"/>
      <c r="I18" s="228">
        <v>0.0</v>
      </c>
      <c r="J18" s="228">
        <v>0.0</v>
      </c>
      <c r="K18" s="2" t="s">
        <v>92</v>
      </c>
      <c r="L18" s="2" t="s">
        <v>667</v>
      </c>
      <c r="M18" s="222"/>
      <c r="N18" s="228">
        <v>0.0</v>
      </c>
      <c r="O18" s="228">
        <v>0.0</v>
      </c>
      <c r="P18" s="2" t="s">
        <v>92</v>
      </c>
      <c r="Q18" s="2" t="s">
        <v>667</v>
      </c>
      <c r="R18" s="222"/>
      <c r="S18" s="228">
        <v>0.0</v>
      </c>
      <c r="T18" s="228">
        <v>0.0</v>
      </c>
      <c r="U18" s="2" t="s">
        <v>92</v>
      </c>
      <c r="V18" s="2" t="s">
        <v>667</v>
      </c>
      <c r="W18" s="222"/>
      <c r="X18" s="228">
        <v>0.0</v>
      </c>
      <c r="Y18" s="228">
        <v>0.0</v>
      </c>
      <c r="Z18" s="231">
        <v>0.0</v>
      </c>
      <c r="AA18" s="231">
        <v>0.0</v>
      </c>
      <c r="AB18" s="231">
        <v>0.0</v>
      </c>
      <c r="AC18" s="231">
        <v>0.0</v>
      </c>
      <c r="AD18" s="224">
        <v>0.0</v>
      </c>
      <c r="AE18" s="174">
        <f t="shared" si="1"/>
        <v>0</v>
      </c>
      <c r="AF18" s="225">
        <f t="shared" si="2"/>
        <v>14.5</v>
      </c>
    </row>
    <row r="19">
      <c r="A19" s="39">
        <v>16.0</v>
      </c>
      <c r="B19" s="62" t="s">
        <v>90</v>
      </c>
      <c r="C19" s="59"/>
      <c r="D19" s="43" t="s">
        <v>112</v>
      </c>
      <c r="E19" s="43" t="s">
        <v>117</v>
      </c>
      <c r="F19" s="2" t="s">
        <v>92</v>
      </c>
      <c r="G19" s="2" t="s">
        <v>667</v>
      </c>
      <c r="H19" s="222"/>
      <c r="I19" s="221">
        <v>0.0</v>
      </c>
      <c r="J19" s="221">
        <v>0.0</v>
      </c>
      <c r="K19" s="2" t="s">
        <v>92</v>
      </c>
      <c r="L19" s="2" t="s">
        <v>667</v>
      </c>
      <c r="M19" s="222"/>
      <c r="N19" s="221">
        <v>0.0</v>
      </c>
      <c r="O19" s="221">
        <v>0.0</v>
      </c>
      <c r="P19" s="2" t="s">
        <v>92</v>
      </c>
      <c r="Q19" s="2" t="s">
        <v>667</v>
      </c>
      <c r="R19" s="222"/>
      <c r="S19" s="221">
        <v>0.0</v>
      </c>
      <c r="T19" s="221">
        <v>0.0</v>
      </c>
      <c r="U19" s="2" t="s">
        <v>92</v>
      </c>
      <c r="V19" s="2" t="s">
        <v>667</v>
      </c>
      <c r="W19" s="222"/>
      <c r="X19" s="221">
        <v>0.0</v>
      </c>
      <c r="Y19" s="221">
        <v>0.0</v>
      </c>
      <c r="Z19" s="223">
        <v>0.0</v>
      </c>
      <c r="AA19" s="223">
        <v>0.0</v>
      </c>
      <c r="AB19" s="223">
        <v>0.0</v>
      </c>
      <c r="AC19" s="223">
        <v>0.0</v>
      </c>
      <c r="AD19" s="224">
        <v>0.0</v>
      </c>
      <c r="AE19" s="174">
        <f t="shared" si="1"/>
        <v>0</v>
      </c>
      <c r="AF19" s="225">
        <f t="shared" si="2"/>
        <v>14.5</v>
      </c>
    </row>
    <row r="20">
      <c r="A20" s="216">
        <v>17.0</v>
      </c>
      <c r="B20" s="62" t="s">
        <v>90</v>
      </c>
      <c r="C20" s="59"/>
      <c r="D20" s="43" t="s">
        <v>126</v>
      </c>
      <c r="E20" s="43" t="s">
        <v>127</v>
      </c>
      <c r="F20" s="2" t="s">
        <v>92</v>
      </c>
      <c r="G20" s="2" t="s">
        <v>667</v>
      </c>
      <c r="H20" s="222"/>
      <c r="I20" s="221">
        <v>0.0</v>
      </c>
      <c r="J20" s="221">
        <v>0.0</v>
      </c>
      <c r="K20" s="2" t="s">
        <v>92</v>
      </c>
      <c r="L20" s="2" t="s">
        <v>667</v>
      </c>
      <c r="M20" s="222"/>
      <c r="N20" s="221">
        <v>0.0</v>
      </c>
      <c r="O20" s="221">
        <v>0.0</v>
      </c>
      <c r="P20" s="2" t="s">
        <v>92</v>
      </c>
      <c r="Q20" s="2" t="s">
        <v>667</v>
      </c>
      <c r="R20" s="222"/>
      <c r="S20" s="221">
        <v>0.0</v>
      </c>
      <c r="T20" s="221">
        <v>0.0</v>
      </c>
      <c r="U20" s="2" t="s">
        <v>92</v>
      </c>
      <c r="V20" s="2" t="s">
        <v>667</v>
      </c>
      <c r="W20" s="222"/>
      <c r="X20" s="221">
        <v>0.0</v>
      </c>
      <c r="Y20" s="221">
        <v>0.0</v>
      </c>
      <c r="Z20" s="223">
        <v>0.0</v>
      </c>
      <c r="AA20" s="223">
        <v>0.0</v>
      </c>
      <c r="AB20" s="223">
        <v>0.0</v>
      </c>
      <c r="AC20" s="223">
        <v>0.0</v>
      </c>
      <c r="AD20" s="224">
        <v>0.0</v>
      </c>
      <c r="AE20" s="174">
        <f t="shared" si="1"/>
        <v>0</v>
      </c>
      <c r="AF20" s="225">
        <f t="shared" si="2"/>
        <v>14.5</v>
      </c>
    </row>
    <row r="21">
      <c r="A21" s="39">
        <v>18.0</v>
      </c>
      <c r="B21" s="62" t="s">
        <v>90</v>
      </c>
      <c r="C21" s="59"/>
      <c r="D21" s="54" t="s">
        <v>135</v>
      </c>
      <c r="E21" s="54" t="s">
        <v>136</v>
      </c>
      <c r="F21" s="2" t="s">
        <v>92</v>
      </c>
      <c r="G21" s="2" t="s">
        <v>667</v>
      </c>
      <c r="H21" s="222"/>
      <c r="I21" s="221">
        <v>0.0</v>
      </c>
      <c r="J21" s="221">
        <v>0.0</v>
      </c>
      <c r="K21" s="2" t="s">
        <v>92</v>
      </c>
      <c r="L21" s="2" t="s">
        <v>667</v>
      </c>
      <c r="M21" s="222"/>
      <c r="N21" s="221">
        <v>0.0</v>
      </c>
      <c r="O21" s="221">
        <v>0.0</v>
      </c>
      <c r="P21" s="2" t="s">
        <v>92</v>
      </c>
      <c r="Q21" s="2" t="s">
        <v>667</v>
      </c>
      <c r="R21" s="222"/>
      <c r="S21" s="221">
        <v>0.0</v>
      </c>
      <c r="T21" s="221">
        <v>0.0</v>
      </c>
      <c r="U21" s="2" t="s">
        <v>92</v>
      </c>
      <c r="V21" s="2" t="s">
        <v>667</v>
      </c>
      <c r="W21" s="222"/>
      <c r="X21" s="221">
        <v>0.0</v>
      </c>
      <c r="Y21" s="221">
        <v>0.0</v>
      </c>
      <c r="Z21" s="223">
        <v>0.0</v>
      </c>
      <c r="AA21" s="223">
        <v>0.0</v>
      </c>
      <c r="AB21" s="223">
        <v>0.0</v>
      </c>
      <c r="AC21" s="223">
        <v>0.0</v>
      </c>
      <c r="AD21" s="224">
        <v>0.0</v>
      </c>
      <c r="AE21" s="174">
        <f t="shared" si="1"/>
        <v>0</v>
      </c>
      <c r="AF21" s="225">
        <f t="shared" si="2"/>
        <v>14.5</v>
      </c>
    </row>
    <row r="22">
      <c r="A22" s="216">
        <v>19.0</v>
      </c>
      <c r="B22" s="62" t="s">
        <v>90</v>
      </c>
      <c r="C22" s="59"/>
      <c r="D22" s="43" t="s">
        <v>138</v>
      </c>
      <c r="E22" s="43" t="s">
        <v>139</v>
      </c>
      <c r="F22" s="2" t="s">
        <v>92</v>
      </c>
      <c r="G22" s="2" t="s">
        <v>667</v>
      </c>
      <c r="H22" s="222"/>
      <c r="I22" s="221">
        <v>0.0</v>
      </c>
      <c r="J22" s="221">
        <v>0.0</v>
      </c>
      <c r="K22" s="2" t="s">
        <v>92</v>
      </c>
      <c r="L22" s="2" t="s">
        <v>667</v>
      </c>
      <c r="M22" s="222"/>
      <c r="N22" s="221">
        <v>0.0</v>
      </c>
      <c r="O22" s="221">
        <v>0.0</v>
      </c>
      <c r="P22" s="2" t="s">
        <v>92</v>
      </c>
      <c r="Q22" s="2" t="s">
        <v>667</v>
      </c>
      <c r="R22" s="222"/>
      <c r="S22" s="221">
        <v>0.0</v>
      </c>
      <c r="T22" s="221">
        <v>0.0</v>
      </c>
      <c r="U22" s="2" t="s">
        <v>92</v>
      </c>
      <c r="V22" s="2" t="s">
        <v>667</v>
      </c>
      <c r="W22" s="222"/>
      <c r="X22" s="221">
        <v>0.0</v>
      </c>
      <c r="Y22" s="221">
        <v>0.0</v>
      </c>
      <c r="Z22" s="223">
        <v>0.0</v>
      </c>
      <c r="AA22" s="223">
        <v>0.0</v>
      </c>
      <c r="AB22" s="223">
        <v>0.0</v>
      </c>
      <c r="AC22" s="223">
        <v>0.0</v>
      </c>
      <c r="AD22" s="224">
        <v>0.0</v>
      </c>
      <c r="AE22" s="174">
        <f t="shared" si="1"/>
        <v>0</v>
      </c>
      <c r="AF22" s="225">
        <f t="shared" si="2"/>
        <v>14.5</v>
      </c>
    </row>
    <row r="23">
      <c r="A23" s="39">
        <v>20.0</v>
      </c>
      <c r="B23" s="62" t="s">
        <v>90</v>
      </c>
      <c r="C23" s="59"/>
      <c r="D23" s="43" t="s">
        <v>146</v>
      </c>
      <c r="E23" s="43" t="s">
        <v>149</v>
      </c>
      <c r="F23" s="2" t="s">
        <v>92</v>
      </c>
      <c r="G23" s="2" t="s">
        <v>667</v>
      </c>
      <c r="H23" s="222"/>
      <c r="I23" s="221">
        <v>0.0</v>
      </c>
      <c r="J23" s="221">
        <v>0.0</v>
      </c>
      <c r="K23" s="2" t="s">
        <v>92</v>
      </c>
      <c r="L23" s="2" t="s">
        <v>667</v>
      </c>
      <c r="M23" s="222"/>
      <c r="N23" s="221">
        <v>0.0</v>
      </c>
      <c r="O23" s="221">
        <v>0.0</v>
      </c>
      <c r="P23" s="2" t="s">
        <v>92</v>
      </c>
      <c r="Q23" s="2" t="s">
        <v>667</v>
      </c>
      <c r="R23" s="222"/>
      <c r="S23" s="221">
        <v>0.0</v>
      </c>
      <c r="T23" s="221">
        <v>0.0</v>
      </c>
      <c r="U23" s="2" t="s">
        <v>92</v>
      </c>
      <c r="V23" s="2" t="s">
        <v>667</v>
      </c>
      <c r="W23" s="222"/>
      <c r="X23" s="221">
        <v>0.0</v>
      </c>
      <c r="Y23" s="221">
        <v>0.0</v>
      </c>
      <c r="Z23" s="223">
        <v>0.0</v>
      </c>
      <c r="AA23" s="223">
        <v>0.0</v>
      </c>
      <c r="AB23" s="223">
        <v>0.0</v>
      </c>
      <c r="AC23" s="223">
        <v>0.0</v>
      </c>
      <c r="AD23" s="224">
        <v>0.0</v>
      </c>
      <c r="AE23" s="174">
        <f t="shared" si="1"/>
        <v>0</v>
      </c>
      <c r="AF23" s="225">
        <f t="shared" si="2"/>
        <v>14.5</v>
      </c>
    </row>
    <row r="24">
      <c r="A24" s="216">
        <v>21.0</v>
      </c>
      <c r="B24" s="105" t="s">
        <v>90</v>
      </c>
      <c r="C24" s="68"/>
      <c r="D24" s="74" t="s">
        <v>153</v>
      </c>
      <c r="E24" s="74" t="s">
        <v>154</v>
      </c>
      <c r="F24" s="2" t="s">
        <v>92</v>
      </c>
      <c r="G24" s="2" t="s">
        <v>667</v>
      </c>
      <c r="H24" s="222"/>
      <c r="I24" s="221">
        <v>0.0</v>
      </c>
      <c r="J24" s="221">
        <v>0.0</v>
      </c>
      <c r="K24" s="2" t="s">
        <v>92</v>
      </c>
      <c r="L24" s="2" t="s">
        <v>667</v>
      </c>
      <c r="M24" s="222"/>
      <c r="N24" s="221">
        <v>0.0</v>
      </c>
      <c r="O24" s="221">
        <v>0.0</v>
      </c>
      <c r="P24" s="2" t="s">
        <v>92</v>
      </c>
      <c r="Q24" s="2" t="s">
        <v>667</v>
      </c>
      <c r="R24" s="222"/>
      <c r="S24" s="221">
        <v>0.0</v>
      </c>
      <c r="T24" s="221">
        <v>0.0</v>
      </c>
      <c r="U24" s="2" t="s">
        <v>92</v>
      </c>
      <c r="V24" s="2" t="s">
        <v>667</v>
      </c>
      <c r="W24" s="222"/>
      <c r="X24" s="221">
        <v>0.0</v>
      </c>
      <c r="Y24" s="221">
        <v>0.0</v>
      </c>
      <c r="Z24" s="223">
        <v>0.0</v>
      </c>
      <c r="AA24" s="223">
        <v>0.0</v>
      </c>
      <c r="AB24" s="223">
        <v>0.0</v>
      </c>
      <c r="AC24" s="223">
        <v>0.0</v>
      </c>
      <c r="AD24" s="224">
        <v>0.0</v>
      </c>
      <c r="AE24" s="174">
        <f t="shared" si="1"/>
        <v>0</v>
      </c>
      <c r="AF24" s="225">
        <f t="shared" si="2"/>
        <v>14.5</v>
      </c>
    </row>
    <row r="25">
      <c r="A25" s="39">
        <v>22.0</v>
      </c>
      <c r="B25" s="62" t="s">
        <v>90</v>
      </c>
      <c r="C25" s="59"/>
      <c r="D25" s="54" t="s">
        <v>162</v>
      </c>
      <c r="E25" s="54" t="s">
        <v>163</v>
      </c>
      <c r="F25" s="2" t="s">
        <v>92</v>
      </c>
      <c r="G25" s="2" t="s">
        <v>667</v>
      </c>
      <c r="H25" s="222"/>
      <c r="I25" s="221">
        <v>0.0</v>
      </c>
      <c r="J25" s="221">
        <v>0.0</v>
      </c>
      <c r="K25" s="2" t="s">
        <v>92</v>
      </c>
      <c r="L25" s="2" t="s">
        <v>667</v>
      </c>
      <c r="M25" s="222"/>
      <c r="N25" s="221">
        <v>0.0</v>
      </c>
      <c r="O25" s="221">
        <v>0.0</v>
      </c>
      <c r="P25" s="2" t="s">
        <v>92</v>
      </c>
      <c r="Q25" s="2" t="s">
        <v>667</v>
      </c>
      <c r="R25" s="222"/>
      <c r="S25" s="221">
        <v>0.0</v>
      </c>
      <c r="T25" s="221">
        <v>0.0</v>
      </c>
      <c r="U25" s="2" t="s">
        <v>92</v>
      </c>
      <c r="V25" s="2" t="s">
        <v>667</v>
      </c>
      <c r="W25" s="222"/>
      <c r="X25" s="221">
        <v>0.0</v>
      </c>
      <c r="Y25" s="221">
        <v>0.0</v>
      </c>
      <c r="Z25" s="223">
        <v>0.0</v>
      </c>
      <c r="AA25" s="223">
        <v>0.0</v>
      </c>
      <c r="AB25" s="223">
        <v>0.0</v>
      </c>
      <c r="AC25" s="223">
        <v>0.0</v>
      </c>
      <c r="AD25" s="224">
        <v>0.0</v>
      </c>
      <c r="AE25" s="174">
        <f t="shared" si="1"/>
        <v>0</v>
      </c>
      <c r="AF25" s="225">
        <f t="shared" si="2"/>
        <v>14.5</v>
      </c>
    </row>
    <row r="26">
      <c r="A26" s="216">
        <v>23.0</v>
      </c>
      <c r="B26" s="105" t="s">
        <v>90</v>
      </c>
      <c r="C26" s="68"/>
      <c r="D26" s="70" t="s">
        <v>165</v>
      </c>
      <c r="E26" s="74" t="s">
        <v>166</v>
      </c>
      <c r="F26" s="2" t="s">
        <v>92</v>
      </c>
      <c r="G26" s="2" t="s">
        <v>667</v>
      </c>
      <c r="H26" s="222"/>
      <c r="I26" s="221">
        <v>0.0</v>
      </c>
      <c r="J26" s="221">
        <v>0.0</v>
      </c>
      <c r="K26" s="2" t="s">
        <v>92</v>
      </c>
      <c r="L26" s="2" t="s">
        <v>667</v>
      </c>
      <c r="M26" s="222"/>
      <c r="N26" s="221">
        <v>0.0</v>
      </c>
      <c r="O26" s="221">
        <v>0.0</v>
      </c>
      <c r="P26" s="2" t="s">
        <v>92</v>
      </c>
      <c r="Q26" s="2" t="s">
        <v>667</v>
      </c>
      <c r="R26" s="222"/>
      <c r="S26" s="221">
        <v>0.0</v>
      </c>
      <c r="T26" s="221">
        <v>0.0</v>
      </c>
      <c r="U26" s="2" t="s">
        <v>92</v>
      </c>
      <c r="V26" s="2" t="s">
        <v>667</v>
      </c>
      <c r="W26" s="222"/>
      <c r="X26" s="221">
        <v>0.0</v>
      </c>
      <c r="Y26" s="221">
        <v>0.0</v>
      </c>
      <c r="Z26" s="223">
        <v>0.0</v>
      </c>
      <c r="AA26" s="223">
        <v>0.0</v>
      </c>
      <c r="AB26" s="223">
        <v>0.0</v>
      </c>
      <c r="AC26" s="223">
        <v>0.0</v>
      </c>
      <c r="AD26" s="224">
        <v>0.0</v>
      </c>
      <c r="AE26" s="174">
        <f t="shared" si="1"/>
        <v>0</v>
      </c>
      <c r="AF26" s="225">
        <f t="shared" si="2"/>
        <v>14.5</v>
      </c>
    </row>
    <row r="27">
      <c r="A27" s="39">
        <v>24.0</v>
      </c>
      <c r="B27" s="62" t="s">
        <v>90</v>
      </c>
      <c r="C27" s="59"/>
      <c r="D27" s="43" t="s">
        <v>175</v>
      </c>
      <c r="E27" s="43" t="s">
        <v>80</v>
      </c>
      <c r="F27" s="2" t="s">
        <v>92</v>
      </c>
      <c r="G27" s="2" t="s">
        <v>667</v>
      </c>
      <c r="H27" s="222"/>
      <c r="I27" s="221">
        <v>0.0</v>
      </c>
      <c r="J27" s="221">
        <v>0.0</v>
      </c>
      <c r="K27" s="2" t="s">
        <v>92</v>
      </c>
      <c r="L27" s="2" t="s">
        <v>667</v>
      </c>
      <c r="M27" s="222"/>
      <c r="N27" s="221">
        <v>0.0</v>
      </c>
      <c r="O27" s="221">
        <v>0.0</v>
      </c>
      <c r="P27" s="2" t="s">
        <v>92</v>
      </c>
      <c r="Q27" s="2" t="s">
        <v>667</v>
      </c>
      <c r="R27" s="222"/>
      <c r="S27" s="221">
        <v>0.0</v>
      </c>
      <c r="T27" s="221">
        <v>0.0</v>
      </c>
      <c r="U27" s="2" t="s">
        <v>92</v>
      </c>
      <c r="V27" s="2" t="s">
        <v>667</v>
      </c>
      <c r="W27" s="222"/>
      <c r="X27" s="221">
        <v>0.0</v>
      </c>
      <c r="Y27" s="221">
        <v>0.0</v>
      </c>
      <c r="Z27" s="223">
        <v>0.0</v>
      </c>
      <c r="AA27" s="223">
        <v>0.0</v>
      </c>
      <c r="AB27" s="223">
        <v>0.0</v>
      </c>
      <c r="AC27" s="223">
        <v>0.0</v>
      </c>
      <c r="AD27" s="224">
        <v>0.0</v>
      </c>
      <c r="AE27" s="174">
        <f t="shared" si="1"/>
        <v>0</v>
      </c>
      <c r="AF27" s="225">
        <f t="shared" si="2"/>
        <v>14.5</v>
      </c>
    </row>
    <row r="28">
      <c r="A28" s="216">
        <v>25.0</v>
      </c>
      <c r="B28" s="62" t="s">
        <v>90</v>
      </c>
      <c r="C28" s="59"/>
      <c r="D28" s="46" t="s">
        <v>180</v>
      </c>
      <c r="E28" s="46" t="s">
        <v>181</v>
      </c>
      <c r="F28" s="2" t="s">
        <v>92</v>
      </c>
      <c r="G28" s="2" t="s">
        <v>667</v>
      </c>
      <c r="H28" s="222"/>
      <c r="I28" s="221">
        <v>0.0</v>
      </c>
      <c r="J28" s="221">
        <v>0.0</v>
      </c>
      <c r="K28" s="2" t="s">
        <v>92</v>
      </c>
      <c r="L28" s="2" t="s">
        <v>667</v>
      </c>
      <c r="M28" s="222"/>
      <c r="N28" s="221">
        <v>0.0</v>
      </c>
      <c r="O28" s="221">
        <v>0.0</v>
      </c>
      <c r="P28" s="2" t="s">
        <v>92</v>
      </c>
      <c r="Q28" s="2" t="s">
        <v>667</v>
      </c>
      <c r="R28" s="222"/>
      <c r="S28" s="221">
        <v>0.0</v>
      </c>
      <c r="T28" s="221">
        <v>0.0</v>
      </c>
      <c r="U28" s="2" t="s">
        <v>92</v>
      </c>
      <c r="V28" s="2" t="s">
        <v>667</v>
      </c>
      <c r="W28" s="222"/>
      <c r="X28" s="221">
        <v>0.0</v>
      </c>
      <c r="Y28" s="221">
        <v>0.0</v>
      </c>
      <c r="Z28" s="223">
        <v>0.0</v>
      </c>
      <c r="AA28" s="223">
        <v>0.0</v>
      </c>
      <c r="AB28" s="223">
        <v>0.0</v>
      </c>
      <c r="AC28" s="223">
        <v>0.0</v>
      </c>
      <c r="AD28" s="224">
        <v>0.0</v>
      </c>
      <c r="AE28" s="174">
        <f t="shared" si="1"/>
        <v>0</v>
      </c>
      <c r="AF28" s="225">
        <f t="shared" si="2"/>
        <v>14.5</v>
      </c>
    </row>
    <row r="29">
      <c r="A29" s="39">
        <v>26.0</v>
      </c>
      <c r="B29" s="105" t="s">
        <v>90</v>
      </c>
      <c r="C29" s="68"/>
      <c r="D29" s="70" t="s">
        <v>184</v>
      </c>
      <c r="E29" s="74" t="s">
        <v>185</v>
      </c>
      <c r="F29" s="2" t="s">
        <v>92</v>
      </c>
      <c r="G29" s="2" t="s">
        <v>667</v>
      </c>
      <c r="H29" s="222"/>
      <c r="I29" s="221">
        <v>0.0</v>
      </c>
      <c r="J29" s="221">
        <v>0.0</v>
      </c>
      <c r="K29" s="2" t="s">
        <v>92</v>
      </c>
      <c r="L29" s="2" t="s">
        <v>667</v>
      </c>
      <c r="M29" s="222"/>
      <c r="N29" s="221">
        <v>0.0</v>
      </c>
      <c r="O29" s="221">
        <v>0.0</v>
      </c>
      <c r="P29" s="2" t="s">
        <v>92</v>
      </c>
      <c r="Q29" s="2" t="s">
        <v>667</v>
      </c>
      <c r="R29" s="222"/>
      <c r="S29" s="221">
        <v>0.0</v>
      </c>
      <c r="T29" s="221">
        <v>0.0</v>
      </c>
      <c r="U29" s="2" t="s">
        <v>92</v>
      </c>
      <c r="V29" s="2" t="s">
        <v>667</v>
      </c>
      <c r="W29" s="222"/>
      <c r="X29" s="221">
        <v>0.0</v>
      </c>
      <c r="Y29" s="221">
        <v>0.0</v>
      </c>
      <c r="Z29" s="223">
        <v>0.0</v>
      </c>
      <c r="AA29" s="223">
        <v>0.0</v>
      </c>
      <c r="AB29" s="223">
        <v>0.0</v>
      </c>
      <c r="AC29" s="223">
        <v>0.0</v>
      </c>
      <c r="AD29" s="224">
        <v>0.0</v>
      </c>
      <c r="AE29" s="174">
        <f t="shared" si="1"/>
        <v>0</v>
      </c>
      <c r="AF29" s="225">
        <f t="shared" si="2"/>
        <v>14.5</v>
      </c>
    </row>
    <row r="30">
      <c r="A30" s="216">
        <v>27.0</v>
      </c>
      <c r="B30" s="62" t="s">
        <v>90</v>
      </c>
      <c r="C30" s="59"/>
      <c r="D30" s="54" t="s">
        <v>193</v>
      </c>
      <c r="E30" s="54" t="s">
        <v>194</v>
      </c>
      <c r="F30" s="218" t="s">
        <v>92</v>
      </c>
      <c r="G30" s="2" t="s">
        <v>667</v>
      </c>
      <c r="H30" s="222"/>
      <c r="I30" s="221">
        <v>0.0</v>
      </c>
      <c r="J30" s="221">
        <v>0.0</v>
      </c>
      <c r="K30" s="2" t="s">
        <v>92</v>
      </c>
      <c r="L30" s="2" t="s">
        <v>667</v>
      </c>
      <c r="M30" s="222"/>
      <c r="N30" s="221">
        <v>0.0</v>
      </c>
      <c r="O30" s="221">
        <v>0.0</v>
      </c>
      <c r="P30" s="2" t="s">
        <v>92</v>
      </c>
      <c r="Q30" s="2" t="s">
        <v>667</v>
      </c>
      <c r="R30" s="222"/>
      <c r="S30" s="221">
        <v>0.0</v>
      </c>
      <c r="T30" s="221">
        <v>0.0</v>
      </c>
      <c r="U30" s="2" t="s">
        <v>92</v>
      </c>
      <c r="V30" s="2" t="s">
        <v>667</v>
      </c>
      <c r="W30" s="222"/>
      <c r="X30" s="221">
        <v>0.0</v>
      </c>
      <c r="Y30" s="221">
        <v>0.0</v>
      </c>
      <c r="Z30" s="223">
        <v>0.0</v>
      </c>
      <c r="AA30" s="223">
        <v>0.0</v>
      </c>
      <c r="AB30" s="223">
        <v>0.0</v>
      </c>
      <c r="AC30" s="223">
        <v>0.0</v>
      </c>
      <c r="AD30" s="224">
        <v>0.0</v>
      </c>
      <c r="AE30" s="174">
        <f t="shared" si="1"/>
        <v>0</v>
      </c>
      <c r="AF30" s="225">
        <f t="shared" si="2"/>
        <v>14.5</v>
      </c>
    </row>
    <row r="31">
      <c r="A31" s="39">
        <v>28.0</v>
      </c>
      <c r="B31" s="62" t="s">
        <v>90</v>
      </c>
      <c r="C31" s="59"/>
      <c r="D31" s="54" t="s">
        <v>199</v>
      </c>
      <c r="E31" s="54" t="s">
        <v>200</v>
      </c>
      <c r="F31" s="218" t="s">
        <v>92</v>
      </c>
      <c r="G31" s="2" t="s">
        <v>667</v>
      </c>
      <c r="H31" s="222"/>
      <c r="I31" s="221">
        <v>0.0</v>
      </c>
      <c r="J31" s="221">
        <v>0.0</v>
      </c>
      <c r="K31" s="2" t="s">
        <v>92</v>
      </c>
      <c r="L31" s="2" t="s">
        <v>667</v>
      </c>
      <c r="M31" s="222"/>
      <c r="N31" s="221">
        <v>0.0</v>
      </c>
      <c r="O31" s="221">
        <v>0.0</v>
      </c>
      <c r="P31" s="2" t="s">
        <v>92</v>
      </c>
      <c r="Q31" s="2" t="s">
        <v>667</v>
      </c>
      <c r="R31" s="222"/>
      <c r="S31" s="221">
        <v>0.0</v>
      </c>
      <c r="T31" s="221">
        <v>0.0</v>
      </c>
      <c r="U31" s="2" t="s">
        <v>92</v>
      </c>
      <c r="V31" s="2" t="s">
        <v>667</v>
      </c>
      <c r="W31" s="222"/>
      <c r="X31" s="221">
        <v>0.0</v>
      </c>
      <c r="Y31" s="221">
        <v>0.0</v>
      </c>
      <c r="Z31" s="223">
        <v>0.0</v>
      </c>
      <c r="AA31" s="223">
        <v>0.0</v>
      </c>
      <c r="AB31" s="223">
        <v>0.0</v>
      </c>
      <c r="AC31" s="223">
        <v>0.0</v>
      </c>
      <c r="AD31" s="224">
        <v>0.0</v>
      </c>
      <c r="AE31" s="174">
        <f t="shared" si="1"/>
        <v>0</v>
      </c>
      <c r="AF31" s="225">
        <f t="shared" si="2"/>
        <v>14.5</v>
      </c>
    </row>
    <row r="32">
      <c r="A32" s="216">
        <v>29.0</v>
      </c>
      <c r="B32" s="62" t="s">
        <v>90</v>
      </c>
      <c r="C32" s="59"/>
      <c r="D32" s="46" t="s">
        <v>206</v>
      </c>
      <c r="E32" s="46" t="s">
        <v>397</v>
      </c>
      <c r="F32" s="218" t="s">
        <v>92</v>
      </c>
      <c r="G32" s="2" t="s">
        <v>667</v>
      </c>
      <c r="H32" s="222"/>
      <c r="I32" s="221">
        <v>0.0</v>
      </c>
      <c r="J32" s="221">
        <v>0.0</v>
      </c>
      <c r="K32" s="2" t="s">
        <v>92</v>
      </c>
      <c r="L32" s="2" t="s">
        <v>667</v>
      </c>
      <c r="M32" s="222"/>
      <c r="N32" s="221">
        <v>0.0</v>
      </c>
      <c r="O32" s="221">
        <v>0.0</v>
      </c>
      <c r="P32" s="2" t="s">
        <v>92</v>
      </c>
      <c r="Q32" s="2" t="s">
        <v>667</v>
      </c>
      <c r="R32" s="222"/>
      <c r="S32" s="221">
        <v>0.0</v>
      </c>
      <c r="T32" s="221">
        <v>0.0</v>
      </c>
      <c r="U32" s="2" t="s">
        <v>92</v>
      </c>
      <c r="V32" s="2" t="s">
        <v>667</v>
      </c>
      <c r="W32" s="222"/>
      <c r="X32" s="221">
        <v>0.0</v>
      </c>
      <c r="Y32" s="221">
        <v>0.0</v>
      </c>
      <c r="Z32" s="223">
        <v>0.0</v>
      </c>
      <c r="AA32" s="223">
        <v>0.0</v>
      </c>
      <c r="AB32" s="223">
        <v>0.0</v>
      </c>
      <c r="AC32" s="223">
        <v>0.0</v>
      </c>
      <c r="AD32" s="224">
        <v>0.0</v>
      </c>
      <c r="AE32" s="174">
        <f t="shared" si="1"/>
        <v>0</v>
      </c>
      <c r="AF32" s="225">
        <f t="shared" si="2"/>
        <v>14.5</v>
      </c>
    </row>
    <row r="33">
      <c r="A33" s="39">
        <v>30.0</v>
      </c>
      <c r="B33" s="62" t="s">
        <v>90</v>
      </c>
      <c r="C33" s="59"/>
      <c r="D33" s="36" t="s">
        <v>210</v>
      </c>
      <c r="E33" s="36" t="s">
        <v>211</v>
      </c>
      <c r="F33" s="218" t="s">
        <v>92</v>
      </c>
      <c r="G33" s="2" t="s">
        <v>667</v>
      </c>
      <c r="H33" s="222"/>
      <c r="I33" s="221">
        <v>0.0</v>
      </c>
      <c r="J33" s="221">
        <v>0.0</v>
      </c>
      <c r="K33" s="2" t="s">
        <v>92</v>
      </c>
      <c r="L33" s="2" t="s">
        <v>667</v>
      </c>
      <c r="M33" s="222"/>
      <c r="N33" s="221">
        <v>0.0</v>
      </c>
      <c r="O33" s="221">
        <v>0.0</v>
      </c>
      <c r="P33" s="2" t="s">
        <v>92</v>
      </c>
      <c r="Q33" s="2" t="s">
        <v>667</v>
      </c>
      <c r="R33" s="222"/>
      <c r="S33" s="221">
        <v>0.0</v>
      </c>
      <c r="T33" s="221">
        <v>0.0</v>
      </c>
      <c r="U33" s="2" t="s">
        <v>92</v>
      </c>
      <c r="V33" s="2" t="s">
        <v>667</v>
      </c>
      <c r="W33" s="222"/>
      <c r="X33" s="221">
        <v>0.0</v>
      </c>
      <c r="Y33" s="221">
        <v>0.0</v>
      </c>
      <c r="Z33" s="223">
        <v>0.0</v>
      </c>
      <c r="AA33" s="223">
        <v>0.0</v>
      </c>
      <c r="AB33" s="223">
        <v>0.0</v>
      </c>
      <c r="AC33" s="223">
        <v>0.0</v>
      </c>
      <c r="AD33" s="224">
        <v>0.0</v>
      </c>
      <c r="AE33" s="174">
        <f t="shared" si="1"/>
        <v>0</v>
      </c>
      <c r="AF33" s="225">
        <f t="shared" si="2"/>
        <v>14.5</v>
      </c>
    </row>
    <row r="34">
      <c r="A34" s="216">
        <v>31.0</v>
      </c>
      <c r="B34" s="62" t="s">
        <v>90</v>
      </c>
      <c r="C34" s="59"/>
      <c r="D34" s="43" t="s">
        <v>219</v>
      </c>
      <c r="E34" s="43" t="s">
        <v>415</v>
      </c>
      <c r="F34" s="218" t="s">
        <v>92</v>
      </c>
      <c r="G34" s="2" t="s">
        <v>667</v>
      </c>
      <c r="H34" s="222"/>
      <c r="I34" s="221">
        <v>0.0</v>
      </c>
      <c r="J34" s="221">
        <v>0.0</v>
      </c>
      <c r="K34" s="2" t="s">
        <v>92</v>
      </c>
      <c r="L34" s="2" t="s">
        <v>667</v>
      </c>
      <c r="M34" s="222"/>
      <c r="N34" s="221">
        <v>0.0</v>
      </c>
      <c r="O34" s="221">
        <v>0.0</v>
      </c>
      <c r="P34" s="2" t="s">
        <v>92</v>
      </c>
      <c r="Q34" s="2" t="s">
        <v>667</v>
      </c>
      <c r="R34" s="222"/>
      <c r="S34" s="221">
        <v>0.0</v>
      </c>
      <c r="T34" s="221">
        <v>0.0</v>
      </c>
      <c r="U34" s="2" t="s">
        <v>92</v>
      </c>
      <c r="V34" s="2" t="s">
        <v>667</v>
      </c>
      <c r="W34" s="222"/>
      <c r="X34" s="221">
        <v>0.0</v>
      </c>
      <c r="Y34" s="221">
        <v>0.0</v>
      </c>
      <c r="Z34" s="223">
        <v>0.0</v>
      </c>
      <c r="AA34" s="223">
        <v>0.0</v>
      </c>
      <c r="AB34" s="223">
        <v>0.0</v>
      </c>
      <c r="AC34" s="223">
        <v>0.0</v>
      </c>
      <c r="AD34" s="224">
        <v>0.0</v>
      </c>
      <c r="AE34" s="174">
        <f t="shared" si="1"/>
        <v>0</v>
      </c>
      <c r="AF34" s="225">
        <f t="shared" si="2"/>
        <v>14.5</v>
      </c>
    </row>
    <row r="35">
      <c r="A35" s="39">
        <v>32.0</v>
      </c>
      <c r="B35" s="62" t="s">
        <v>90</v>
      </c>
      <c r="C35" s="55" t="s">
        <v>99</v>
      </c>
      <c r="D35" s="43" t="s">
        <v>219</v>
      </c>
      <c r="E35" s="43" t="s">
        <v>225</v>
      </c>
      <c r="F35" s="218" t="s">
        <v>92</v>
      </c>
      <c r="G35" s="2" t="s">
        <v>667</v>
      </c>
      <c r="H35" s="222"/>
      <c r="I35" s="221">
        <v>0.0</v>
      </c>
      <c r="J35" s="221">
        <v>0.0</v>
      </c>
      <c r="K35" s="2" t="s">
        <v>92</v>
      </c>
      <c r="L35" s="2" t="s">
        <v>667</v>
      </c>
      <c r="M35" s="222"/>
      <c r="N35" s="221">
        <v>0.0</v>
      </c>
      <c r="O35" s="221">
        <v>0.0</v>
      </c>
      <c r="P35" s="2" t="s">
        <v>92</v>
      </c>
      <c r="Q35" s="2" t="s">
        <v>667</v>
      </c>
      <c r="R35" s="222"/>
      <c r="S35" s="221">
        <v>0.0</v>
      </c>
      <c r="T35" s="221">
        <v>0.0</v>
      </c>
      <c r="U35" s="2" t="s">
        <v>92</v>
      </c>
      <c r="V35" s="2" t="s">
        <v>667</v>
      </c>
      <c r="W35" s="222"/>
      <c r="X35" s="221">
        <v>0.0</v>
      </c>
      <c r="Y35" s="221">
        <v>0.0</v>
      </c>
      <c r="Z35" s="223">
        <v>0.0</v>
      </c>
      <c r="AA35" s="223">
        <v>0.0</v>
      </c>
      <c r="AB35" s="223">
        <v>0.0</v>
      </c>
      <c r="AC35" s="223">
        <v>0.0</v>
      </c>
      <c r="AD35" s="224">
        <v>0.0</v>
      </c>
      <c r="AE35" s="174">
        <f t="shared" si="1"/>
        <v>0</v>
      </c>
      <c r="AF35" s="225">
        <f t="shared" si="2"/>
        <v>14.5</v>
      </c>
    </row>
    <row r="36">
      <c r="A36" s="216">
        <v>33.0</v>
      </c>
      <c r="B36" s="62" t="s">
        <v>90</v>
      </c>
      <c r="C36" s="59"/>
      <c r="D36" s="99" t="s">
        <v>233</v>
      </c>
      <c r="E36" s="99" t="s">
        <v>234</v>
      </c>
      <c r="F36" s="218" t="s">
        <v>92</v>
      </c>
      <c r="G36" s="2" t="s">
        <v>667</v>
      </c>
      <c r="H36" s="222"/>
      <c r="I36" s="221">
        <v>0.0</v>
      </c>
      <c r="J36" s="221">
        <v>0.0</v>
      </c>
      <c r="K36" s="2" t="s">
        <v>92</v>
      </c>
      <c r="L36" s="2" t="s">
        <v>667</v>
      </c>
      <c r="M36" s="222"/>
      <c r="N36" s="221">
        <v>0.0</v>
      </c>
      <c r="O36" s="221">
        <v>0.0</v>
      </c>
      <c r="P36" s="2" t="s">
        <v>92</v>
      </c>
      <c r="Q36" s="2" t="s">
        <v>667</v>
      </c>
      <c r="R36" s="222"/>
      <c r="S36" s="221">
        <v>0.0</v>
      </c>
      <c r="T36" s="221">
        <v>0.0</v>
      </c>
      <c r="U36" s="2" t="s">
        <v>92</v>
      </c>
      <c r="V36" s="2" t="s">
        <v>667</v>
      </c>
      <c r="W36" s="222"/>
      <c r="X36" s="221">
        <v>0.0</v>
      </c>
      <c r="Y36" s="221">
        <v>0.0</v>
      </c>
      <c r="Z36" s="223">
        <v>0.0</v>
      </c>
      <c r="AA36" s="223">
        <v>0.0</v>
      </c>
      <c r="AB36" s="223">
        <v>0.0</v>
      </c>
      <c r="AC36" s="223">
        <v>0.0</v>
      </c>
      <c r="AD36" s="224">
        <v>0.0</v>
      </c>
      <c r="AE36" s="174">
        <f t="shared" si="1"/>
        <v>0</v>
      </c>
      <c r="AF36" s="225">
        <f t="shared" si="2"/>
        <v>14.5</v>
      </c>
    </row>
    <row r="37">
      <c r="A37" s="39">
        <v>34.0</v>
      </c>
      <c r="B37" s="117" t="s">
        <v>90</v>
      </c>
      <c r="C37" s="113"/>
      <c r="D37" s="114" t="s">
        <v>243</v>
      </c>
      <c r="E37" s="114" t="s">
        <v>244</v>
      </c>
      <c r="F37" s="218" t="s">
        <v>92</v>
      </c>
      <c r="G37" s="2" t="s">
        <v>667</v>
      </c>
      <c r="H37" s="222"/>
      <c r="I37" s="221">
        <v>0.0</v>
      </c>
      <c r="J37" s="221">
        <v>0.0</v>
      </c>
      <c r="K37" s="2" t="s">
        <v>92</v>
      </c>
      <c r="L37" s="2" t="s">
        <v>667</v>
      </c>
      <c r="M37" s="222"/>
      <c r="N37" s="221">
        <v>0.0</v>
      </c>
      <c r="O37" s="221">
        <v>0.0</v>
      </c>
      <c r="P37" s="2" t="s">
        <v>92</v>
      </c>
      <c r="Q37" s="2" t="s">
        <v>667</v>
      </c>
      <c r="R37" s="222"/>
      <c r="S37" s="221">
        <v>0.0</v>
      </c>
      <c r="T37" s="221">
        <v>0.0</v>
      </c>
      <c r="U37" s="2" t="s">
        <v>92</v>
      </c>
      <c r="V37" s="2" t="s">
        <v>667</v>
      </c>
      <c r="W37" s="222"/>
      <c r="X37" s="221">
        <v>0.0</v>
      </c>
      <c r="Y37" s="221">
        <v>0.0</v>
      </c>
      <c r="Z37" s="223">
        <v>0.0</v>
      </c>
      <c r="AA37" s="223">
        <v>0.0</v>
      </c>
      <c r="AB37" s="223">
        <v>0.0</v>
      </c>
      <c r="AC37" s="223">
        <v>0.0</v>
      </c>
      <c r="AD37" s="224">
        <v>0.0</v>
      </c>
      <c r="AE37" s="174">
        <f t="shared" si="1"/>
        <v>0</v>
      </c>
      <c r="AF37" s="225">
        <f t="shared" si="2"/>
        <v>14.5</v>
      </c>
    </row>
    <row r="38">
      <c r="A38" s="216">
        <v>35.0</v>
      </c>
      <c r="B38" s="62" t="s">
        <v>90</v>
      </c>
      <c r="C38" s="55" t="s">
        <v>99</v>
      </c>
      <c r="D38" s="43" t="s">
        <v>435</v>
      </c>
      <c r="E38" s="43" t="s">
        <v>255</v>
      </c>
      <c r="F38" s="218" t="s">
        <v>92</v>
      </c>
      <c r="G38" s="2" t="s">
        <v>667</v>
      </c>
      <c r="H38" s="222"/>
      <c r="I38" s="221">
        <v>0.0</v>
      </c>
      <c r="J38" s="221">
        <v>0.0</v>
      </c>
      <c r="K38" s="2" t="s">
        <v>92</v>
      </c>
      <c r="L38" s="2" t="s">
        <v>667</v>
      </c>
      <c r="M38" s="222"/>
      <c r="N38" s="221">
        <v>0.0</v>
      </c>
      <c r="O38" s="221">
        <v>0.0</v>
      </c>
      <c r="P38" s="2" t="s">
        <v>92</v>
      </c>
      <c r="Q38" s="2" t="s">
        <v>667</v>
      </c>
      <c r="R38" s="222"/>
      <c r="S38" s="221">
        <v>0.0</v>
      </c>
      <c r="T38" s="221">
        <v>0.0</v>
      </c>
      <c r="U38" s="2" t="s">
        <v>92</v>
      </c>
      <c r="V38" s="2" t="s">
        <v>667</v>
      </c>
      <c r="W38" s="222"/>
      <c r="X38" s="221">
        <v>0.0</v>
      </c>
      <c r="Y38" s="221">
        <v>0.0</v>
      </c>
      <c r="Z38" s="223">
        <v>0.0</v>
      </c>
      <c r="AA38" s="223">
        <v>0.0</v>
      </c>
      <c r="AB38" s="223">
        <v>0.0</v>
      </c>
      <c r="AC38" s="223">
        <v>0.0</v>
      </c>
      <c r="AD38" s="224">
        <v>0.0</v>
      </c>
      <c r="AE38" s="174">
        <f t="shared" si="1"/>
        <v>0</v>
      </c>
      <c r="AF38" s="225">
        <f t="shared" si="2"/>
        <v>14.5</v>
      </c>
    </row>
    <row r="39">
      <c r="A39" s="39">
        <v>36.0</v>
      </c>
      <c r="B39" s="62" t="s">
        <v>90</v>
      </c>
      <c r="C39" s="59"/>
      <c r="D39" s="46" t="s">
        <v>261</v>
      </c>
      <c r="E39" s="46" t="s">
        <v>444</v>
      </c>
      <c r="F39" s="218" t="s">
        <v>92</v>
      </c>
      <c r="G39" s="2" t="s">
        <v>667</v>
      </c>
      <c r="H39" s="222"/>
      <c r="I39" s="221">
        <v>0.0</v>
      </c>
      <c r="J39" s="221">
        <v>0.0</v>
      </c>
      <c r="K39" s="2" t="s">
        <v>92</v>
      </c>
      <c r="L39" s="2" t="s">
        <v>667</v>
      </c>
      <c r="M39" s="222"/>
      <c r="N39" s="221">
        <v>0.0</v>
      </c>
      <c r="O39" s="221">
        <v>0.0</v>
      </c>
      <c r="P39" s="2" t="s">
        <v>92</v>
      </c>
      <c r="Q39" s="2" t="s">
        <v>667</v>
      </c>
      <c r="R39" s="222"/>
      <c r="S39" s="221">
        <v>0.0</v>
      </c>
      <c r="T39" s="221">
        <v>0.0</v>
      </c>
      <c r="U39" s="2" t="s">
        <v>92</v>
      </c>
      <c r="V39" s="2" t="s">
        <v>667</v>
      </c>
      <c r="W39" s="222"/>
      <c r="X39" s="221">
        <v>0.0</v>
      </c>
      <c r="Y39" s="221">
        <v>0.0</v>
      </c>
      <c r="Z39" s="223">
        <v>0.0</v>
      </c>
      <c r="AA39" s="223">
        <v>0.0</v>
      </c>
      <c r="AB39" s="223">
        <v>0.0</v>
      </c>
      <c r="AC39" s="223">
        <v>0.0</v>
      </c>
      <c r="AD39" s="224">
        <v>0.0</v>
      </c>
      <c r="AE39" s="174">
        <f t="shared" si="1"/>
        <v>0</v>
      </c>
      <c r="AF39" s="225">
        <f t="shared" si="2"/>
        <v>14.5</v>
      </c>
    </row>
    <row r="40">
      <c r="A40" s="216">
        <v>37.0</v>
      </c>
      <c r="B40" s="62" t="s">
        <v>90</v>
      </c>
      <c r="C40" s="59"/>
      <c r="D40" s="46" t="s">
        <v>270</v>
      </c>
      <c r="E40" s="46" t="s">
        <v>271</v>
      </c>
      <c r="F40" s="218" t="s">
        <v>92</v>
      </c>
      <c r="G40" s="2" t="s">
        <v>667</v>
      </c>
      <c r="H40" s="222"/>
      <c r="I40" s="221">
        <v>0.0</v>
      </c>
      <c r="J40" s="221">
        <v>0.0</v>
      </c>
      <c r="K40" s="2" t="s">
        <v>92</v>
      </c>
      <c r="L40" s="2" t="s">
        <v>667</v>
      </c>
      <c r="M40" s="222"/>
      <c r="N40" s="221">
        <v>0.0</v>
      </c>
      <c r="O40" s="221">
        <v>0.0</v>
      </c>
      <c r="P40" s="2" t="s">
        <v>92</v>
      </c>
      <c r="Q40" s="2" t="s">
        <v>667</v>
      </c>
      <c r="R40" s="222"/>
      <c r="S40" s="221">
        <v>0.0</v>
      </c>
      <c r="T40" s="221">
        <v>0.0</v>
      </c>
      <c r="U40" s="2" t="s">
        <v>92</v>
      </c>
      <c r="V40" s="2" t="s">
        <v>667</v>
      </c>
      <c r="W40" s="222"/>
      <c r="X40" s="221">
        <v>0.0</v>
      </c>
      <c r="Y40" s="221">
        <v>0.0</v>
      </c>
      <c r="Z40" s="223">
        <v>0.0</v>
      </c>
      <c r="AA40" s="223">
        <v>0.0</v>
      </c>
      <c r="AB40" s="223">
        <v>0.0</v>
      </c>
      <c r="AC40" s="223">
        <v>0.0</v>
      </c>
      <c r="AD40" s="224">
        <v>0.0</v>
      </c>
      <c r="AE40" s="174">
        <f t="shared" si="1"/>
        <v>0</v>
      </c>
      <c r="AF40" s="225">
        <f t="shared" si="2"/>
        <v>14.5</v>
      </c>
    </row>
    <row r="41">
      <c r="A41" s="39">
        <v>38.0</v>
      </c>
      <c r="B41" s="105" t="s">
        <v>90</v>
      </c>
      <c r="C41" s="68"/>
      <c r="D41" s="70" t="s">
        <v>275</v>
      </c>
      <c r="E41" s="74" t="s">
        <v>277</v>
      </c>
      <c r="F41" s="218" t="s">
        <v>92</v>
      </c>
      <c r="G41" s="2" t="s">
        <v>667</v>
      </c>
      <c r="H41" s="222"/>
      <c r="I41" s="221">
        <v>0.0</v>
      </c>
      <c r="J41" s="221">
        <v>0.0</v>
      </c>
      <c r="K41" s="2" t="s">
        <v>92</v>
      </c>
      <c r="L41" s="2" t="s">
        <v>667</v>
      </c>
      <c r="M41" s="222"/>
      <c r="N41" s="221">
        <v>0.0</v>
      </c>
      <c r="O41" s="221">
        <v>0.0</v>
      </c>
      <c r="P41" s="2" t="s">
        <v>92</v>
      </c>
      <c r="Q41" s="2" t="s">
        <v>667</v>
      </c>
      <c r="R41" s="222"/>
      <c r="S41" s="221">
        <v>0.0</v>
      </c>
      <c r="T41" s="221">
        <v>0.0</v>
      </c>
      <c r="U41" s="2" t="s">
        <v>92</v>
      </c>
      <c r="V41" s="2" t="s">
        <v>667</v>
      </c>
      <c r="W41" s="222"/>
      <c r="X41" s="221">
        <v>0.0</v>
      </c>
      <c r="Y41" s="221">
        <v>0.0</v>
      </c>
      <c r="Z41" s="223">
        <v>0.0</v>
      </c>
      <c r="AA41" s="223">
        <v>0.0</v>
      </c>
      <c r="AB41" s="223">
        <v>0.0</v>
      </c>
      <c r="AC41" s="223">
        <v>0.0</v>
      </c>
      <c r="AD41" s="224">
        <v>0.0</v>
      </c>
      <c r="AE41" s="174">
        <f t="shared" si="1"/>
        <v>0</v>
      </c>
      <c r="AF41" s="225">
        <f t="shared" si="2"/>
        <v>14.5</v>
      </c>
    </row>
    <row r="42">
      <c r="A42" s="216">
        <v>39.0</v>
      </c>
      <c r="B42" s="62" t="s">
        <v>90</v>
      </c>
      <c r="C42" s="59"/>
      <c r="D42" s="43" t="s">
        <v>281</v>
      </c>
      <c r="E42" s="43" t="s">
        <v>282</v>
      </c>
      <c r="F42" s="218" t="s">
        <v>92</v>
      </c>
      <c r="G42" s="2" t="s">
        <v>667</v>
      </c>
      <c r="H42" s="222"/>
      <c r="I42" s="221">
        <v>0.0</v>
      </c>
      <c r="J42" s="221">
        <v>0.0</v>
      </c>
      <c r="K42" s="2" t="s">
        <v>92</v>
      </c>
      <c r="L42" s="2" t="s">
        <v>667</v>
      </c>
      <c r="M42" s="222"/>
      <c r="N42" s="221">
        <v>0.0</v>
      </c>
      <c r="O42" s="221">
        <v>0.0</v>
      </c>
      <c r="P42" s="2" t="s">
        <v>92</v>
      </c>
      <c r="Q42" s="2" t="s">
        <v>667</v>
      </c>
      <c r="R42" s="222"/>
      <c r="S42" s="221">
        <v>0.0</v>
      </c>
      <c r="T42" s="221">
        <v>0.0</v>
      </c>
      <c r="U42" s="2" t="s">
        <v>92</v>
      </c>
      <c r="V42" s="2" t="s">
        <v>667</v>
      </c>
      <c r="W42" s="222"/>
      <c r="X42" s="221">
        <v>0.0</v>
      </c>
      <c r="Y42" s="221">
        <v>0.0</v>
      </c>
      <c r="Z42" s="223">
        <v>0.0</v>
      </c>
      <c r="AA42" s="223">
        <v>0.0</v>
      </c>
      <c r="AB42" s="223">
        <v>0.0</v>
      </c>
      <c r="AC42" s="223">
        <v>0.0</v>
      </c>
      <c r="AD42" s="224">
        <v>0.0</v>
      </c>
      <c r="AE42" s="174">
        <f t="shared" si="1"/>
        <v>0</v>
      </c>
      <c r="AF42" s="225">
        <f t="shared" si="2"/>
        <v>14.5</v>
      </c>
    </row>
    <row r="43">
      <c r="A43" s="39">
        <v>40.0</v>
      </c>
      <c r="B43" s="117" t="s">
        <v>90</v>
      </c>
      <c r="C43" s="113"/>
      <c r="D43" s="115" t="s">
        <v>289</v>
      </c>
      <c r="E43" s="115" t="s">
        <v>246</v>
      </c>
      <c r="F43" s="218" t="s">
        <v>92</v>
      </c>
      <c r="G43" s="2" t="s">
        <v>667</v>
      </c>
      <c r="H43" s="222"/>
      <c r="I43" s="221">
        <v>0.0</v>
      </c>
      <c r="J43" s="221">
        <v>0.0</v>
      </c>
      <c r="K43" s="2" t="s">
        <v>92</v>
      </c>
      <c r="L43" s="2" t="s">
        <v>667</v>
      </c>
      <c r="M43" s="222"/>
      <c r="N43" s="221">
        <v>0.0</v>
      </c>
      <c r="O43" s="221">
        <v>0.0</v>
      </c>
      <c r="P43" s="2" t="s">
        <v>92</v>
      </c>
      <c r="Q43" s="2" t="s">
        <v>667</v>
      </c>
      <c r="R43" s="222"/>
      <c r="S43" s="221">
        <v>0.0</v>
      </c>
      <c r="T43" s="221">
        <v>0.0</v>
      </c>
      <c r="U43" s="2" t="s">
        <v>92</v>
      </c>
      <c r="V43" s="2" t="s">
        <v>667</v>
      </c>
      <c r="W43" s="222"/>
      <c r="X43" s="221">
        <v>0.0</v>
      </c>
      <c r="Y43" s="221">
        <v>0.0</v>
      </c>
      <c r="Z43" s="223">
        <v>0.0</v>
      </c>
      <c r="AA43" s="223">
        <v>0.0</v>
      </c>
      <c r="AB43" s="223">
        <v>0.0</v>
      </c>
      <c r="AC43" s="223">
        <v>0.0</v>
      </c>
      <c r="AD43" s="224">
        <v>0.0</v>
      </c>
      <c r="AE43" s="174">
        <f t="shared" si="1"/>
        <v>0</v>
      </c>
      <c r="AF43" s="225">
        <f t="shared" si="2"/>
        <v>14.5</v>
      </c>
    </row>
    <row r="44">
      <c r="A44" s="216">
        <v>41.0</v>
      </c>
      <c r="B44" s="62" t="s">
        <v>90</v>
      </c>
      <c r="C44" s="59"/>
      <c r="D44" s="46" t="s">
        <v>294</v>
      </c>
      <c r="E44" s="46" t="s">
        <v>295</v>
      </c>
      <c r="F44" s="218" t="s">
        <v>92</v>
      </c>
      <c r="G44" s="2" t="s">
        <v>667</v>
      </c>
      <c r="H44" s="222"/>
      <c r="I44" s="221">
        <v>0.0</v>
      </c>
      <c r="J44" s="221">
        <v>0.0</v>
      </c>
      <c r="K44" s="2" t="s">
        <v>92</v>
      </c>
      <c r="L44" s="2" t="s">
        <v>667</v>
      </c>
      <c r="M44" s="222"/>
      <c r="N44" s="221">
        <v>0.0</v>
      </c>
      <c r="O44" s="221">
        <v>0.0</v>
      </c>
      <c r="P44" s="2" t="s">
        <v>92</v>
      </c>
      <c r="Q44" s="2" t="s">
        <v>667</v>
      </c>
      <c r="R44" s="222"/>
      <c r="S44" s="221">
        <v>0.0</v>
      </c>
      <c r="T44" s="221">
        <v>0.0</v>
      </c>
      <c r="U44" s="2" t="s">
        <v>92</v>
      </c>
      <c r="V44" s="2" t="s">
        <v>667</v>
      </c>
      <c r="W44" s="222"/>
      <c r="X44" s="221">
        <v>0.0</v>
      </c>
      <c r="Y44" s="221">
        <v>0.0</v>
      </c>
      <c r="Z44" s="223">
        <v>0.0</v>
      </c>
      <c r="AA44" s="223">
        <v>0.0</v>
      </c>
      <c r="AB44" s="223">
        <v>0.0</v>
      </c>
      <c r="AC44" s="223">
        <v>0.0</v>
      </c>
      <c r="AD44" s="224">
        <v>0.0</v>
      </c>
      <c r="AE44" s="174">
        <f t="shared" si="1"/>
        <v>0</v>
      </c>
      <c r="AF44" s="225">
        <f t="shared" si="2"/>
        <v>14.5</v>
      </c>
    </row>
    <row r="45">
      <c r="A45" s="39">
        <v>42.0</v>
      </c>
      <c r="B45" s="62" t="s">
        <v>90</v>
      </c>
      <c r="C45" s="59"/>
      <c r="D45" s="36" t="s">
        <v>304</v>
      </c>
      <c r="E45" s="36" t="s">
        <v>305</v>
      </c>
      <c r="F45" s="218" t="s">
        <v>92</v>
      </c>
      <c r="G45" s="2" t="s">
        <v>667</v>
      </c>
      <c r="H45" s="222"/>
      <c r="I45" s="221">
        <v>0.0</v>
      </c>
      <c r="J45" s="221">
        <v>0.0</v>
      </c>
      <c r="K45" s="2" t="s">
        <v>92</v>
      </c>
      <c r="L45" s="2" t="s">
        <v>667</v>
      </c>
      <c r="M45" s="222"/>
      <c r="N45" s="221">
        <v>0.0</v>
      </c>
      <c r="O45" s="221">
        <v>0.0</v>
      </c>
      <c r="P45" s="2" t="s">
        <v>92</v>
      </c>
      <c r="Q45" s="2" t="s">
        <v>667</v>
      </c>
      <c r="R45" s="222"/>
      <c r="S45" s="221">
        <v>0.0</v>
      </c>
      <c r="T45" s="221">
        <v>0.0</v>
      </c>
      <c r="U45" s="2" t="s">
        <v>92</v>
      </c>
      <c r="V45" s="2" t="s">
        <v>667</v>
      </c>
      <c r="W45" s="222"/>
      <c r="X45" s="221">
        <v>0.0</v>
      </c>
      <c r="Y45" s="221">
        <v>0.0</v>
      </c>
      <c r="Z45" s="223">
        <v>0.0</v>
      </c>
      <c r="AA45" s="223">
        <v>0.0</v>
      </c>
      <c r="AB45" s="223">
        <v>0.0</v>
      </c>
      <c r="AC45" s="223">
        <v>0.0</v>
      </c>
      <c r="AD45" s="224">
        <v>0.0</v>
      </c>
      <c r="AE45" s="174">
        <f t="shared" si="1"/>
        <v>0</v>
      </c>
      <c r="AF45" s="225">
        <f t="shared" si="2"/>
        <v>14.5</v>
      </c>
    </row>
    <row r="46">
      <c r="A46" s="216">
        <v>43.0</v>
      </c>
      <c r="B46" s="62" t="s">
        <v>90</v>
      </c>
      <c r="C46" s="55" t="s">
        <v>99</v>
      </c>
      <c r="D46" s="46" t="s">
        <v>313</v>
      </c>
      <c r="E46" s="46" t="s">
        <v>315</v>
      </c>
      <c r="F46" s="218" t="s">
        <v>92</v>
      </c>
      <c r="G46" s="2" t="s">
        <v>667</v>
      </c>
      <c r="H46" s="222"/>
      <c r="I46" s="221">
        <v>0.0</v>
      </c>
      <c r="J46" s="221">
        <v>0.0</v>
      </c>
      <c r="K46" s="2" t="s">
        <v>92</v>
      </c>
      <c r="L46" s="2" t="s">
        <v>667</v>
      </c>
      <c r="M46" s="222"/>
      <c r="N46" s="221">
        <v>0.0</v>
      </c>
      <c r="O46" s="221">
        <v>0.0</v>
      </c>
      <c r="P46" s="2" t="s">
        <v>92</v>
      </c>
      <c r="Q46" s="2" t="s">
        <v>667</v>
      </c>
      <c r="R46" s="222"/>
      <c r="S46" s="221">
        <v>0.0</v>
      </c>
      <c r="T46" s="221">
        <v>0.0</v>
      </c>
      <c r="U46" s="2" t="s">
        <v>92</v>
      </c>
      <c r="V46" s="2" t="s">
        <v>667</v>
      </c>
      <c r="W46" s="222"/>
      <c r="X46" s="221">
        <v>0.0</v>
      </c>
      <c r="Y46" s="221">
        <v>0.0</v>
      </c>
      <c r="Z46" s="223">
        <v>0.0</v>
      </c>
      <c r="AA46" s="223">
        <v>0.0</v>
      </c>
      <c r="AB46" s="223">
        <v>0.0</v>
      </c>
      <c r="AC46" s="223">
        <v>0.0</v>
      </c>
      <c r="AD46" s="224">
        <v>0.0</v>
      </c>
      <c r="AE46" s="174">
        <f t="shared" si="1"/>
        <v>0</v>
      </c>
      <c r="AF46" s="225">
        <f t="shared" si="2"/>
        <v>14.5</v>
      </c>
    </row>
    <row r="47">
      <c r="A47" s="39">
        <v>44.0</v>
      </c>
      <c r="B47" s="62" t="s">
        <v>90</v>
      </c>
      <c r="C47" s="59"/>
      <c r="D47" s="46" t="s">
        <v>328</v>
      </c>
      <c r="E47" s="46" t="s">
        <v>321</v>
      </c>
      <c r="F47" s="218" t="s">
        <v>92</v>
      </c>
      <c r="G47" s="2" t="s">
        <v>667</v>
      </c>
      <c r="H47" s="222"/>
      <c r="I47" s="221">
        <v>0.0</v>
      </c>
      <c r="J47" s="221">
        <v>0.0</v>
      </c>
      <c r="K47" s="2" t="s">
        <v>92</v>
      </c>
      <c r="L47" s="2" t="s">
        <v>667</v>
      </c>
      <c r="M47" s="222"/>
      <c r="N47" s="221">
        <v>0.0</v>
      </c>
      <c r="O47" s="221">
        <v>0.0</v>
      </c>
      <c r="P47" s="2" t="s">
        <v>92</v>
      </c>
      <c r="Q47" s="2" t="s">
        <v>667</v>
      </c>
      <c r="R47" s="222"/>
      <c r="S47" s="221">
        <v>0.0</v>
      </c>
      <c r="T47" s="221">
        <v>0.0</v>
      </c>
      <c r="U47" s="2" t="s">
        <v>92</v>
      </c>
      <c r="V47" s="2" t="s">
        <v>667</v>
      </c>
      <c r="W47" s="222"/>
      <c r="X47" s="221">
        <v>0.0</v>
      </c>
      <c r="Y47" s="221">
        <v>0.0</v>
      </c>
      <c r="Z47" s="223">
        <v>0.0</v>
      </c>
      <c r="AA47" s="223">
        <v>0.0</v>
      </c>
      <c r="AB47" s="223">
        <v>0.0</v>
      </c>
      <c r="AC47" s="223">
        <v>0.0</v>
      </c>
      <c r="AD47" s="224">
        <v>0.0</v>
      </c>
      <c r="AE47" s="174">
        <f t="shared" si="1"/>
        <v>0</v>
      </c>
      <c r="AF47" s="225">
        <f t="shared" si="2"/>
        <v>14.5</v>
      </c>
    </row>
    <row r="48">
      <c r="A48" s="216">
        <v>45.0</v>
      </c>
      <c r="B48" s="62" t="s">
        <v>90</v>
      </c>
      <c r="C48" s="59"/>
      <c r="D48" s="46" t="s">
        <v>337</v>
      </c>
      <c r="E48" s="46" t="s">
        <v>488</v>
      </c>
      <c r="F48" s="218" t="s">
        <v>92</v>
      </c>
      <c r="G48" s="2" t="s">
        <v>667</v>
      </c>
      <c r="H48" s="222"/>
      <c r="I48" s="221">
        <v>0.0</v>
      </c>
      <c r="J48" s="221">
        <v>0.0</v>
      </c>
      <c r="K48" s="2" t="s">
        <v>92</v>
      </c>
      <c r="L48" s="2" t="s">
        <v>667</v>
      </c>
      <c r="M48" s="222"/>
      <c r="N48" s="221">
        <v>0.0</v>
      </c>
      <c r="O48" s="221">
        <v>0.0</v>
      </c>
      <c r="P48" s="2" t="s">
        <v>92</v>
      </c>
      <c r="Q48" s="2" t="s">
        <v>667</v>
      </c>
      <c r="R48" s="222"/>
      <c r="S48" s="221">
        <v>0.0</v>
      </c>
      <c r="T48" s="221">
        <v>0.0</v>
      </c>
      <c r="U48" s="2" t="s">
        <v>92</v>
      </c>
      <c r="V48" s="2" t="s">
        <v>667</v>
      </c>
      <c r="W48" s="222"/>
      <c r="X48" s="221">
        <v>0.0</v>
      </c>
      <c r="Y48" s="221">
        <v>0.0</v>
      </c>
      <c r="Z48" s="223">
        <v>0.0</v>
      </c>
      <c r="AA48" s="223">
        <v>0.0</v>
      </c>
      <c r="AB48" s="223">
        <v>0.0</v>
      </c>
      <c r="AC48" s="223">
        <v>0.0</v>
      </c>
      <c r="AD48" s="224">
        <v>0.0</v>
      </c>
      <c r="AE48" s="174">
        <f t="shared" si="1"/>
        <v>0</v>
      </c>
      <c r="AF48" s="225">
        <f t="shared" si="2"/>
        <v>14.5</v>
      </c>
    </row>
    <row r="49">
      <c r="A49" s="39">
        <v>46.0</v>
      </c>
      <c r="B49" s="62" t="s">
        <v>90</v>
      </c>
      <c r="C49" s="55" t="s">
        <v>99</v>
      </c>
      <c r="D49" s="46" t="s">
        <v>343</v>
      </c>
      <c r="E49" s="46" t="s">
        <v>166</v>
      </c>
      <c r="F49" s="218" t="s">
        <v>92</v>
      </c>
      <c r="G49" s="2" t="s">
        <v>667</v>
      </c>
      <c r="H49" s="222"/>
      <c r="I49" s="221">
        <v>0.0</v>
      </c>
      <c r="J49" s="221">
        <v>0.0</v>
      </c>
      <c r="K49" s="2" t="s">
        <v>92</v>
      </c>
      <c r="L49" s="2" t="s">
        <v>667</v>
      </c>
      <c r="M49" s="222"/>
      <c r="N49" s="221">
        <v>0.0</v>
      </c>
      <c r="O49" s="221">
        <v>0.0</v>
      </c>
      <c r="P49" s="2" t="s">
        <v>92</v>
      </c>
      <c r="Q49" s="2" t="s">
        <v>667</v>
      </c>
      <c r="R49" s="222"/>
      <c r="S49" s="221">
        <v>0.0</v>
      </c>
      <c r="T49" s="221">
        <v>0.0</v>
      </c>
      <c r="U49" s="2" t="s">
        <v>92</v>
      </c>
      <c r="V49" s="2" t="s">
        <v>667</v>
      </c>
      <c r="W49" s="222"/>
      <c r="X49" s="221">
        <v>0.0</v>
      </c>
      <c r="Y49" s="221">
        <v>0.0</v>
      </c>
      <c r="Z49" s="223">
        <v>0.0</v>
      </c>
      <c r="AA49" s="223">
        <v>0.0</v>
      </c>
      <c r="AB49" s="223">
        <v>0.0</v>
      </c>
      <c r="AC49" s="223">
        <v>0.0</v>
      </c>
      <c r="AD49" s="224">
        <v>0.0</v>
      </c>
      <c r="AE49" s="174">
        <f t="shared" si="1"/>
        <v>0</v>
      </c>
      <c r="AF49" s="225">
        <f t="shared" si="2"/>
        <v>14.5</v>
      </c>
    </row>
    <row r="50">
      <c r="A50" s="216">
        <v>47.0</v>
      </c>
      <c r="B50" s="62" t="s">
        <v>90</v>
      </c>
      <c r="C50" s="59"/>
      <c r="D50" s="46" t="s">
        <v>352</v>
      </c>
      <c r="E50" s="46" t="s">
        <v>353</v>
      </c>
      <c r="F50" s="218" t="s">
        <v>92</v>
      </c>
      <c r="G50" s="2" t="s">
        <v>667</v>
      </c>
      <c r="H50" s="222"/>
      <c r="I50" s="221">
        <v>0.0</v>
      </c>
      <c r="J50" s="221">
        <v>0.0</v>
      </c>
      <c r="K50" s="2" t="s">
        <v>92</v>
      </c>
      <c r="L50" s="2" t="s">
        <v>667</v>
      </c>
      <c r="M50" s="222"/>
      <c r="N50" s="221">
        <v>0.0</v>
      </c>
      <c r="O50" s="221">
        <v>0.0</v>
      </c>
      <c r="P50" s="2" t="s">
        <v>92</v>
      </c>
      <c r="Q50" s="2" t="s">
        <v>667</v>
      </c>
      <c r="R50" s="222"/>
      <c r="S50" s="221">
        <v>0.0</v>
      </c>
      <c r="T50" s="221">
        <v>0.0</v>
      </c>
      <c r="U50" s="2" t="s">
        <v>92</v>
      </c>
      <c r="V50" s="2" t="s">
        <v>667</v>
      </c>
      <c r="W50" s="222"/>
      <c r="X50" s="221">
        <v>0.0</v>
      </c>
      <c r="Y50" s="221">
        <v>0.0</v>
      </c>
      <c r="Z50" s="223">
        <v>0.0</v>
      </c>
      <c r="AA50" s="223">
        <v>0.0</v>
      </c>
      <c r="AB50" s="223">
        <v>0.0</v>
      </c>
      <c r="AC50" s="223">
        <v>0.0</v>
      </c>
      <c r="AD50" s="224">
        <v>0.0</v>
      </c>
      <c r="AE50" s="174">
        <f t="shared" si="1"/>
        <v>0</v>
      </c>
      <c r="AF50" s="225">
        <f t="shared" si="2"/>
        <v>14.5</v>
      </c>
    </row>
    <row r="51">
      <c r="A51" s="39">
        <v>48.0</v>
      </c>
      <c r="B51" s="62" t="s">
        <v>90</v>
      </c>
      <c r="C51" s="59"/>
      <c r="D51" s="36" t="s">
        <v>363</v>
      </c>
      <c r="E51" s="36" t="s">
        <v>364</v>
      </c>
      <c r="F51" s="218" t="s">
        <v>92</v>
      </c>
      <c r="G51" s="2" t="s">
        <v>667</v>
      </c>
      <c r="H51" s="222"/>
      <c r="I51" s="221">
        <v>0.0</v>
      </c>
      <c r="J51" s="221">
        <v>0.0</v>
      </c>
      <c r="K51" s="2" t="s">
        <v>92</v>
      </c>
      <c r="L51" s="2" t="s">
        <v>667</v>
      </c>
      <c r="M51" s="222"/>
      <c r="N51" s="221">
        <v>0.0</v>
      </c>
      <c r="O51" s="221">
        <v>0.0</v>
      </c>
      <c r="P51" s="2" t="s">
        <v>92</v>
      </c>
      <c r="Q51" s="2" t="s">
        <v>667</v>
      </c>
      <c r="R51" s="222"/>
      <c r="S51" s="221">
        <v>0.0</v>
      </c>
      <c r="T51" s="221">
        <v>0.0</v>
      </c>
      <c r="U51" s="2" t="s">
        <v>92</v>
      </c>
      <c r="V51" s="2" t="s">
        <v>667</v>
      </c>
      <c r="W51" s="222"/>
      <c r="X51" s="221">
        <v>0.0</v>
      </c>
      <c r="Y51" s="221">
        <v>0.0</v>
      </c>
      <c r="Z51" s="223">
        <v>0.0</v>
      </c>
      <c r="AA51" s="223">
        <v>0.0</v>
      </c>
      <c r="AB51" s="223">
        <v>0.0</v>
      </c>
      <c r="AC51" s="223">
        <v>0.0</v>
      </c>
      <c r="AD51" s="224">
        <v>0.0</v>
      </c>
      <c r="AE51" s="174">
        <f t="shared" si="1"/>
        <v>0</v>
      </c>
      <c r="AF51" s="225">
        <f t="shared" si="2"/>
        <v>14.5</v>
      </c>
    </row>
    <row r="52">
      <c r="A52" s="216">
        <v>49.0</v>
      </c>
      <c r="B52" s="62" t="s">
        <v>90</v>
      </c>
      <c r="C52" s="59"/>
      <c r="D52" s="46" t="s">
        <v>372</v>
      </c>
      <c r="E52" s="46" t="s">
        <v>373</v>
      </c>
      <c r="F52" s="218" t="s">
        <v>92</v>
      </c>
      <c r="G52" s="2" t="s">
        <v>667</v>
      </c>
      <c r="H52" s="222"/>
      <c r="I52" s="221">
        <v>0.0</v>
      </c>
      <c r="J52" s="221">
        <v>0.0</v>
      </c>
      <c r="K52" s="2" t="s">
        <v>92</v>
      </c>
      <c r="L52" s="2" t="s">
        <v>667</v>
      </c>
      <c r="M52" s="222"/>
      <c r="N52" s="221">
        <v>0.0</v>
      </c>
      <c r="O52" s="221">
        <v>0.0</v>
      </c>
      <c r="P52" s="2" t="s">
        <v>92</v>
      </c>
      <c r="Q52" s="2" t="s">
        <v>667</v>
      </c>
      <c r="R52" s="222"/>
      <c r="S52" s="221">
        <v>0.0</v>
      </c>
      <c r="T52" s="221">
        <v>0.0</v>
      </c>
      <c r="U52" s="2" t="s">
        <v>92</v>
      </c>
      <c r="V52" s="2" t="s">
        <v>667</v>
      </c>
      <c r="W52" s="222"/>
      <c r="X52" s="221">
        <v>0.0</v>
      </c>
      <c r="Y52" s="221">
        <v>0.0</v>
      </c>
      <c r="Z52" s="223">
        <v>0.0</v>
      </c>
      <c r="AA52" s="223">
        <v>0.0</v>
      </c>
      <c r="AB52" s="223">
        <v>0.0</v>
      </c>
      <c r="AC52" s="223">
        <v>0.0</v>
      </c>
      <c r="AD52" s="224">
        <v>0.0</v>
      </c>
      <c r="AE52" s="174">
        <f t="shared" si="1"/>
        <v>0</v>
      </c>
      <c r="AF52" s="225">
        <f t="shared" si="2"/>
        <v>14.5</v>
      </c>
    </row>
    <row r="53">
      <c r="A53" s="39">
        <v>50.0</v>
      </c>
      <c r="B53" s="62" t="s">
        <v>90</v>
      </c>
      <c r="C53" s="59"/>
      <c r="D53" s="46" t="s">
        <v>378</v>
      </c>
      <c r="E53" s="46" t="s">
        <v>380</v>
      </c>
      <c r="F53" s="218" t="s">
        <v>92</v>
      </c>
      <c r="G53" s="2" t="s">
        <v>667</v>
      </c>
      <c r="H53" s="222"/>
      <c r="I53" s="221">
        <v>0.0</v>
      </c>
      <c r="J53" s="221">
        <v>0.0</v>
      </c>
      <c r="K53" s="2" t="s">
        <v>92</v>
      </c>
      <c r="L53" s="2" t="s">
        <v>667</v>
      </c>
      <c r="M53" s="222"/>
      <c r="N53" s="221">
        <v>0.0</v>
      </c>
      <c r="O53" s="221">
        <v>0.0</v>
      </c>
      <c r="P53" s="2" t="s">
        <v>92</v>
      </c>
      <c r="Q53" s="2" t="s">
        <v>667</v>
      </c>
      <c r="R53" s="222"/>
      <c r="S53" s="221">
        <v>0.0</v>
      </c>
      <c r="T53" s="221">
        <v>0.0</v>
      </c>
      <c r="U53" s="2" t="s">
        <v>92</v>
      </c>
      <c r="V53" s="2" t="s">
        <v>667</v>
      </c>
      <c r="W53" s="222"/>
      <c r="X53" s="221">
        <v>0.0</v>
      </c>
      <c r="Y53" s="221">
        <v>0.0</v>
      </c>
      <c r="Z53" s="223">
        <v>0.0</v>
      </c>
      <c r="AA53" s="223">
        <v>0.0</v>
      </c>
      <c r="AB53" s="223">
        <v>0.0</v>
      </c>
      <c r="AC53" s="223">
        <v>0.0</v>
      </c>
      <c r="AD53" s="224">
        <v>0.0</v>
      </c>
      <c r="AE53" s="174">
        <f t="shared" si="1"/>
        <v>0</v>
      </c>
      <c r="AF53" s="225">
        <f t="shared" si="2"/>
        <v>14.5</v>
      </c>
    </row>
    <row r="54">
      <c r="A54" s="216">
        <v>51.0</v>
      </c>
      <c r="B54" s="62" t="s">
        <v>90</v>
      </c>
      <c r="C54" s="59"/>
      <c r="D54" s="46" t="s">
        <v>382</v>
      </c>
      <c r="E54" s="46" t="s">
        <v>527</v>
      </c>
      <c r="F54" s="218" t="s">
        <v>92</v>
      </c>
      <c r="G54" s="2" t="s">
        <v>667</v>
      </c>
      <c r="H54" s="222"/>
      <c r="I54" s="221">
        <v>0.0</v>
      </c>
      <c r="J54" s="221">
        <v>0.0</v>
      </c>
      <c r="K54" s="2" t="s">
        <v>92</v>
      </c>
      <c r="L54" s="2" t="s">
        <v>667</v>
      </c>
      <c r="M54" s="222"/>
      <c r="N54" s="221">
        <v>0.0</v>
      </c>
      <c r="O54" s="221">
        <v>0.0</v>
      </c>
      <c r="P54" s="2" t="s">
        <v>92</v>
      </c>
      <c r="Q54" s="2" t="s">
        <v>667</v>
      </c>
      <c r="R54" s="222"/>
      <c r="S54" s="221">
        <v>0.0</v>
      </c>
      <c r="T54" s="221">
        <v>0.0</v>
      </c>
      <c r="U54" s="2" t="s">
        <v>92</v>
      </c>
      <c r="V54" s="2" t="s">
        <v>667</v>
      </c>
      <c r="W54" s="222"/>
      <c r="X54" s="221">
        <v>0.0</v>
      </c>
      <c r="Y54" s="221">
        <v>0.0</v>
      </c>
      <c r="Z54" s="223">
        <v>0.0</v>
      </c>
      <c r="AA54" s="223">
        <v>0.0</v>
      </c>
      <c r="AB54" s="223">
        <v>0.0</v>
      </c>
      <c r="AC54" s="223">
        <v>0.0</v>
      </c>
      <c r="AD54" s="224">
        <v>0.0</v>
      </c>
      <c r="AE54" s="174">
        <f t="shared" si="1"/>
        <v>0</v>
      </c>
      <c r="AF54" s="225">
        <f t="shared" si="2"/>
        <v>14.5</v>
      </c>
    </row>
    <row r="55">
      <c r="A55" s="39">
        <v>52.0</v>
      </c>
      <c r="B55" s="62" t="s">
        <v>90</v>
      </c>
      <c r="C55" s="59"/>
      <c r="D55" s="29" t="s">
        <v>386</v>
      </c>
      <c r="E55" s="29" t="s">
        <v>387</v>
      </c>
      <c r="F55" s="218" t="s">
        <v>92</v>
      </c>
      <c r="G55" s="2" t="s">
        <v>667</v>
      </c>
      <c r="H55" s="222"/>
      <c r="I55" s="221">
        <v>0.0</v>
      </c>
      <c r="J55" s="221">
        <v>0.0</v>
      </c>
      <c r="K55" s="2" t="s">
        <v>92</v>
      </c>
      <c r="L55" s="2" t="s">
        <v>667</v>
      </c>
      <c r="M55" s="222"/>
      <c r="N55" s="221">
        <v>0.0</v>
      </c>
      <c r="O55" s="221">
        <v>0.0</v>
      </c>
      <c r="P55" s="2" t="s">
        <v>92</v>
      </c>
      <c r="Q55" s="2" t="s">
        <v>667</v>
      </c>
      <c r="R55" s="222"/>
      <c r="S55" s="221">
        <v>0.0</v>
      </c>
      <c r="T55" s="221">
        <v>0.0</v>
      </c>
      <c r="U55" s="2" t="s">
        <v>92</v>
      </c>
      <c r="V55" s="2" t="s">
        <v>667</v>
      </c>
      <c r="W55" s="222"/>
      <c r="X55" s="221">
        <v>0.0</v>
      </c>
      <c r="Y55" s="221">
        <v>0.0</v>
      </c>
      <c r="Z55" s="223">
        <v>0.0</v>
      </c>
      <c r="AA55" s="223">
        <v>0.0</v>
      </c>
      <c r="AB55" s="223">
        <v>0.0</v>
      </c>
      <c r="AC55" s="223">
        <v>0.0</v>
      </c>
      <c r="AD55" s="224">
        <v>0.0</v>
      </c>
      <c r="AE55" s="174">
        <f t="shared" si="1"/>
        <v>0</v>
      </c>
      <c r="AF55" s="225">
        <f t="shared" si="2"/>
        <v>14.5</v>
      </c>
    </row>
    <row r="56">
      <c r="A56" s="216">
        <v>53.0</v>
      </c>
      <c r="B56" s="121" t="s">
        <v>90</v>
      </c>
      <c r="C56" s="57"/>
      <c r="D56" s="46" t="s">
        <v>390</v>
      </c>
      <c r="E56" s="46" t="s">
        <v>391</v>
      </c>
      <c r="F56" s="218" t="s">
        <v>92</v>
      </c>
      <c r="G56" s="2" t="s">
        <v>667</v>
      </c>
      <c r="H56" s="222"/>
      <c r="I56" s="221">
        <v>0.0</v>
      </c>
      <c r="J56" s="221">
        <v>0.0</v>
      </c>
      <c r="K56" s="2" t="s">
        <v>92</v>
      </c>
      <c r="L56" s="2" t="s">
        <v>667</v>
      </c>
      <c r="M56" s="222"/>
      <c r="N56" s="221">
        <v>0.0</v>
      </c>
      <c r="O56" s="221">
        <v>0.0</v>
      </c>
      <c r="P56" s="2" t="s">
        <v>92</v>
      </c>
      <c r="Q56" s="2" t="s">
        <v>667</v>
      </c>
      <c r="R56" s="222"/>
      <c r="S56" s="221">
        <v>0.0</v>
      </c>
      <c r="T56" s="221">
        <v>0.0</v>
      </c>
      <c r="U56" s="2" t="s">
        <v>92</v>
      </c>
      <c r="V56" s="2" t="s">
        <v>667</v>
      </c>
      <c r="W56" s="222"/>
      <c r="X56" s="221">
        <v>0.0</v>
      </c>
      <c r="Y56" s="221">
        <v>0.0</v>
      </c>
      <c r="Z56" s="223">
        <v>0.0</v>
      </c>
      <c r="AA56" s="223">
        <v>0.0</v>
      </c>
      <c r="AB56" s="223">
        <v>0.0</v>
      </c>
      <c r="AC56" s="223">
        <v>0.0</v>
      </c>
      <c r="AD56" s="224">
        <v>0.0</v>
      </c>
      <c r="AE56" s="174">
        <f t="shared" si="1"/>
        <v>0</v>
      </c>
      <c r="AF56" s="225">
        <f t="shared" si="2"/>
        <v>14.5</v>
      </c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16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63">
      <c r="A963" s="235"/>
    </row>
    <row r="964">
      <c r="A964" s="235"/>
    </row>
    <row r="965">
      <c r="A965" s="235"/>
    </row>
    <row r="966">
      <c r="A966" s="235"/>
    </row>
    <row r="967">
      <c r="A967" s="235"/>
    </row>
  </sheetData>
  <mergeCells count="7">
    <mergeCell ref="F1:Z1"/>
    <mergeCell ref="I2:J2"/>
    <mergeCell ref="N2:O2"/>
    <mergeCell ref="S2:T2"/>
    <mergeCell ref="X2:Y2"/>
    <mergeCell ref="Z2:AA2"/>
    <mergeCell ref="AB2:AC2"/>
  </mergeCells>
  <dataValidations>
    <dataValidation type="list" allowBlank="1" showErrorMessage="1" sqref="G4:G56 L4:L56 Q4:Q56 V4:V56">
      <formula1>"Online/permission granted,In class,Group Assignment,Absent,Online/Sick,Online/ NO permission ,Public Holiday,In class/Lesson not attended in full,Reported absent"</formula1>
    </dataValidation>
    <dataValidation type="list" allowBlank="1" showErrorMessage="1" sqref="F4:F56 K4:K56 P4:P56 U4:U56">
      <formula1>"Yes,No "</formula1>
    </dataValidation>
    <dataValidation type="list" allowBlank="1" showErrorMessage="1" sqref="AD4:AD56">
      <formula1>"0,1,2,3,4"</formula1>
    </dataValidation>
    <dataValidation type="list" allowBlank="1" showErrorMessage="1" sqref="I4:J56 N4:O56 S4:T56 X4:AC56">
      <formula1>"0,2,1.5,1,0.5"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9.38"/>
    <col customWidth="1" min="7" max="7" width="18.75"/>
  </cols>
  <sheetData>
    <row r="1" ht="21.0" customHeight="1">
      <c r="A1" s="166" t="s">
        <v>744</v>
      </c>
      <c r="B1" s="166" t="s">
        <v>745</v>
      </c>
      <c r="C1" s="2"/>
      <c r="D1" s="166" t="s">
        <v>746</v>
      </c>
      <c r="E1" s="2"/>
      <c r="F1" s="2"/>
      <c r="G1" s="166" t="s">
        <v>747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 t="s">
        <v>748</v>
      </c>
      <c r="E2" s="234">
        <v>0.0</v>
      </c>
      <c r="F2" s="2"/>
      <c r="G2" s="2" t="s">
        <v>706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92</v>
      </c>
      <c r="B3" s="30">
        <v>0.0</v>
      </c>
      <c r="C3" s="2"/>
      <c r="D3" s="2" t="s">
        <v>749</v>
      </c>
      <c r="E3" s="234">
        <v>2.0</v>
      </c>
      <c r="F3" s="2"/>
      <c r="G3" s="2" t="s">
        <v>667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672</v>
      </c>
      <c r="B4" s="30">
        <v>1.0</v>
      </c>
      <c r="C4" s="2"/>
      <c r="D4" s="2" t="s">
        <v>750</v>
      </c>
      <c r="E4" s="30">
        <v>1.5</v>
      </c>
      <c r="F4" s="2"/>
      <c r="G4" s="2" t="s">
        <v>751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0">
        <v>2.0</v>
      </c>
      <c r="C5" s="2"/>
      <c r="D5" s="2" t="s">
        <v>752</v>
      </c>
      <c r="E5" s="234">
        <v>1.0</v>
      </c>
      <c r="F5" s="2"/>
      <c r="G5" s="2" t="s">
        <v>673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0">
        <v>3.0</v>
      </c>
      <c r="C6" s="2"/>
      <c r="D6" s="2" t="s">
        <v>753</v>
      </c>
      <c r="E6" s="30">
        <v>0.5</v>
      </c>
      <c r="F6" s="2"/>
      <c r="G6" s="2" t="s">
        <v>754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0">
        <v>4.0</v>
      </c>
      <c r="C7" s="2"/>
      <c r="D7" s="2"/>
      <c r="E7" s="2"/>
      <c r="F7" s="2"/>
      <c r="G7" s="2" t="s">
        <v>755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 t="s">
        <v>756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122" t="s">
        <v>707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 t="s">
        <v>684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G2:G10">
      <formula1>"Absent,Group Assignment,In class,In class/Lesson not attended in full,Online/ NO permission ,Online/permission granted,Online/Sick,Public Holiday,Reported absent"</formula1>
    </dataValidation>
    <dataValidation type="list" allowBlank="1" showErrorMessage="1" sqref="E2:E6">
      <formula1>"0,0.5,1,1.5,2"</formula1>
    </dataValidation>
  </dataValidations>
  <drawing r:id="rId1"/>
</worksheet>
</file>